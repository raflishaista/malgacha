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237fcd78f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0b2ffa63f6d4858"/>
    <x:sheet xmlns:r="http://schemas.openxmlformats.org/officeDocument/2006/relationships" name="Tracker" sheetId="2" r:id="R6efbdb3a4dbc4733"/>
    <x:sheet xmlns:r="http://schemas.openxmlformats.org/officeDocument/2006/relationships" name="Specifications" sheetId="3" r:id="R417ce91916814197"/>
    <x:sheet xmlns:r="http://schemas.openxmlformats.org/officeDocument/2006/relationships" name="Content" sheetId="4" r:id="R8f6f34f46a504764"/>
    <x:sheet xmlns:r="http://schemas.openxmlformats.org/officeDocument/2006/relationships" name="Decisions" sheetId="5" r:id="R1d5793c9d264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2024"/>
      <x:name val="Arial"/>
    </x:font>
    <x:font>
      <x:b/>
      <x:sz val="11"/>
      <x:color rgb="FFFFFFFF"/>
      <x:name val="Arial"/>
    </x:font>
    <x:font>
      <x:b/>
      <x:sz val="16"/>
      <x:color rgb="FFC31D70"/>
      <x:name val="Arial"/>
    </x:font>
    <x:font>
      <x:b/>
      <x:sz val="11"/>
      <x:color rgb="FF2420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1621"/>
      </x:patternFill>
    </x:fill>
    <x:fill>
      <x:patternFill patternType="solid">
        <x:fgColor rgb="FFFFF8E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31D70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ill>
        <x:patternFill patternType="solid">
          <x:bgColor rgb="FFE3F0E7"/>
        </x:patternFill>
      </x:fill>
    </x:dxf>
    <x:dxf>
      <x:fill>
        <x:patternFill patternType="solid">
          <x:bgColor rgb="FFFFF0CE"/>
        </x:patternFill>
      </x:fill>
    </x:dxf>
    <x:dxf>
      <x:fill>
        <x:patternFill patternType="solid">
          <x:bgColor rgb="FFE9EEF7"/>
        </x:patternFill>
      </x:fill>
    </x:dxf>
    <x:dxf>
      <x:fill>
        <x:patternFill patternType="solid">
          <x:bgColor rgb="FFEEE8F4"/>
        </x:patternFill>
      </x:fill>
    </x:dxf>
    <x:dxf>
      <x:fill>
        <x:patternFill patternType="solid">
          <x:bgColor rgb="FFFCE3E4"/>
        </x:patternFill>
      </x:fill>
    </x:dxf>
    <x:dxf>
      <x:fill>
        <x:patternFill patternType="solid">
          <x:bgColor rgb="FFE3F0E7"/>
        </x:patternFill>
      </x:fill>
    </x:dxf>
    <x:dxf>
      <x:font>
        <x:b/>
        <x:color rgb="FFA21B2E"/>
      </x:font>
      <x:fill>
        <x:patternFill patternType="solid">
          <x:bgColor rgb="FFFCE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bd387615b4ef0" /><Relationship Type="http://schemas.openxmlformats.org/officeDocument/2006/relationships/theme" Target="/xl/theme/theme1.xml" Id="R7ac3c997dfe54c48" /><Relationship Type="http://schemas.openxmlformats.org/officeDocument/2006/relationships/sharedStrings" Target="/xl/sharedStrings.xml" Id="R5cbfb41383c94586" /><Relationship Type="http://schemas.openxmlformats.org/officeDocument/2006/relationships/worksheet" Target="/xl/worksheets/sheet1.xml" Id="R90b2ffa63f6d4858" /><Relationship Type="http://schemas.openxmlformats.org/officeDocument/2006/relationships/worksheet" Target="/xl/worksheets/sheet2.xml" Id="R6efbdb3a4dbc4733" /><Relationship Type="http://schemas.openxmlformats.org/officeDocument/2006/relationships/worksheet" Target="/xl/worksheets/sheet3.xml" Id="R417ce91916814197" /><Relationship Type="http://schemas.openxmlformats.org/officeDocument/2006/relationships/worksheet" Target="/xl/worksheets/sheet4.xml" Id="R8f6f34f46a504764" /><Relationship Type="http://schemas.openxmlformats.org/officeDocument/2006/relationships/worksheet" Target="/xl/worksheets/sheet5.xml" Id="R1d5793c9d26447c4" /></Relationships>
</file>

<file path=xl/tables/table1.xml><?xml version="1.0" encoding="utf-8"?>
<x:table xmlns:x="http://schemas.openxmlformats.org/spreadsheetml/2006/main" id="1" name="Requirements" displayName="Requirements" ref="A6:I82" headerRowCount="1" totalsRowCount="0" totalsRowShown="0">
  <x:tableColumns count="9">
    <x:tableColumn id="1" name="ID"/>
    <x:tableColumn id="2" name="Area"/>
    <x:tableColumn id="3" name="Feature"/>
    <x:tableColumn id="4" name="Status"/>
    <x:tableColumn id="5" name="Priority"/>
    <x:tableColumn id="6" name="Phase"/>
    <x:tableColumn id="7" name="Origin"/>
    <x:tableColumn id="8" name="Acceptance check"/>
    <x:tableColumn id="9" name="Reviewed complet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pecifications" displayName="Specifications" ref="A6:E82" headerRowCount="1" totalsRowCount="0" totalsRowShown="0">
  <x:tableColumns count="5">
    <x:tableColumn id="1" name="ID"/>
    <x:tableColumn id="2" name="Requirement"/>
    <x:tableColumn id="3" name="Acceptance criteria"/>
    <x:tableColumn id="4" name="Dependencies / decisions"/>
    <x:tableColumn id="5" name="Evidence / current limit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ontentCatalog" displayName="ContentCatalog" ref="A6:F97" headerRowCount="1" totalsRowCount="0" totalsRowShown="0">
  <x:tableColumns count="6">
    <x:tableColumn id="1" name="Category"/>
    <x:tableColumn id="2" name="Stable ID"/>
    <x:tableColumn id="3" name="Name / ability"/>
    <x:tableColumn id="4" name="Implementation"/>
    <x:tableColumn id="5" name="Description"/>
    <x:tableColumn id="6" name="Evidenc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OpenDecisions" displayName="OpenDecisions" ref="A6:F18" headerRowCount="1" totalsRowCount="0" totalsRowShown="0">
  <x:tableColumns count="6">
    <x:tableColumn id="1" name="ID"/>
    <x:tableColumn id="2" name="Area"/>
    <x:tableColumn id="3" name="Decision needed"/>
    <x:tableColumn id="4" name="Recommended starting point"/>
    <x:tableColumn id="5" name="Reason / current behavior"/>
    <x:tableColumn id="6" name="Related ID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57d6b4c25541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175cfab2614d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2370f5b6024c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e77ab5ac4f483e" /></Relationships>
</file>

<file path=xl/worksheets/sheet1.xml><?xml version="1.0" encoding="utf-8"?>
<x:worksheet xmlns:x="http://schemas.openxmlformats.org/spreadsheetml/2006/main">
  <x:sheetPr>
    <x:tabColor rgb="FFC31D70"/>
  </x:sheetPr>
  <x:sheetViews>
    <x:sheetView showGridLines="0" workbookViewId="0"/>
  </x:sheetViews>
  <x:sheetFormatPr defaultRowHeight="15"/>
  <x:cols>
    <x:col min="1" max="1" width="25.6299991607666" hidden="0" customWidth="1"/>
    <x:col min="2" max="2" width="25.6299991607666" hidden="0" customWidth="1"/>
    <x:col min="3" max="3" width="20" hidden="0" customWidth="1"/>
    <x:col min="4" max="4" width="18.1299991607666" hidden="0" customWidth="1"/>
    <x:col min="5" max="5" width="18.1299991607666" hidden="0" customWidth="1"/>
    <x:col min="6" max="6" width="3.75" hidden="0" customWidth="1"/>
    <x:col min="7" max="7" width="28.75" hidden="0" customWidth="1"/>
    <x:col min="8" max="8" width="19.3799991607666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MALGacha product requirements</x:v>
      </x:c>
      <x:c r="B2" s="3"/>
      <x:c r="C2" s="3"/>
      <x:c r="D2" s="3"/>
      <x:c r="E2" s="3"/>
      <x:c r="F2" s="3"/>
      <x:c r="G2" s="3"/>
      <x:c r="H2" s="3"/>
    </x:row>
    <x:row r="3" ht="30" customHeight="1">
      <x:c r="A3" s="8"/>
      <x:c r="B3" s="8"/>
      <x:c r="C3" s="8"/>
      <x:c r="D3" s="8"/>
      <x:c r="E3" s="8"/>
      <x:c r="F3" s="8"/>
      <x:c r="G3" s="8"/>
      <x:c r="H3" s="8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50" customHeight="1">
      <x:c r="A5" s="10" t="str">
        <x:v>Product</x:v>
      </x:c>
      <x:c r="B5" s="3" t="str">
        <x:v>A MAL character lottery, team comparison tool and browser roguelike idle battler.</x:v>
      </x:c>
      <x:c r="C5" s="3"/>
      <x:c r="D5" s="3"/>
      <x:c r="E5" s="3"/>
      <x:c r="F5" s="3"/>
      <x:c r="G5" s="5" t="str">
        <x:v>Status</x:v>
      </x:c>
      <x:c r="H5" s="5" t="str">
        <x:v>Requirements</x:v>
      </x:c>
    </x:row>
    <x:row r="6" ht="50" customHeight="1">
      <x:c r="A6" s="10" t="str">
        <x:v>Primary player</x:v>
      </x:c>
      <x:c r="B6" s="3" t="str">
        <x:v>Anime/manga fans who want to turn their public MAL collection into a team and explore randomized battles.</x:v>
      </x:c>
      <x:c r="C6" s="3"/>
      <x:c r="D6" s="3"/>
      <x:c r="E6" s="3"/>
      <x:c r="F6" s="3"/>
      <x:c r="G6" s="3" t="str">
        <x:v>Implemented</x:v>
      </x:c>
      <x:c r="H6" s="3" t="n">
        <x:f>COUNTIFS('Tracker'!$D$7:$D$82,G6)</x:f>
        <x:v>34</x:v>
      </x:c>
    </x:row>
    <x:row r="7" ht="50" customHeight="1">
      <x:c r="A7" s="10" t="str">
        <x:v>Current scope</x:v>
      </x:c>
      <x:c r="B7" s="3" t="str">
        <x:v>Lottery, three MALchups comparisons, and the Jobber Journeys testing loop with stats, items, events, stages and bosses.</x:v>
      </x:c>
      <x:c r="C7" s="3"/>
      <x:c r="D7" s="3"/>
      <x:c r="E7" s="3"/>
      <x:c r="F7" s="3"/>
      <x:c r="G7" s="3" t="str">
        <x:v>Partial</x:v>
      </x:c>
      <x:c r="H7" s="3" t="n">
        <x:f>COUNTIFS('Tracker'!$D$7:$D$82,G7)</x:f>
        <x:v>2</x:v>
      </x:c>
    </x:row>
    <x:row r="8" ht="50" customHeight="1">
      <x:c r="A8" s="10" t="str">
        <x:v>Core Journey loop</x:v>
      </x:c>
      <x:c r="B8" s="3" t="str">
        <x:v>Import or demo → roll five → Depart → stage and pathways → choose fight/event → resolve → reward/replacement → continue.</x:v>
      </x:c>
      <x:c r="C8" s="3"/>
      <x:c r="D8" s="3"/>
      <x:c r="E8" s="3"/>
      <x:c r="F8" s="3"/>
      <x:c r="G8" s="3" t="str">
        <x:v>Planned</x:v>
      </x:c>
      <x:c r="H8" s="3" t="n">
        <x:f>COUNTIFS('Tracker'!$D$7:$D$82,G8)</x:f>
        <x:v>28</x:v>
      </x:c>
    </x:row>
    <x:row r="9" ht="50" customHeight="1">
      <x:c r="A9" s="10" t="str">
        <x:v>Progression rules</x:v>
      </x:c>
      <x:c r="B9" s="3" t="str">
        <x:v>Boss on upcoming floor 10,20,…; item choice at each 5 cleared floors; three lives; game over resets team and inventory.</x:v>
      </x:c>
      <x:c r="C9" s="3"/>
      <x:c r="D9" s="3"/>
      <x:c r="E9" s="3"/>
      <x:c r="F9" s="3"/>
      <x:c r="G9" s="3" t="str">
        <x:v>Proposed</x:v>
      </x:c>
      <x:c r="H9" s="3" t="n">
        <x:f>COUNTIFS('Tracker'!$D$7:$D$82,G9)</x:f>
        <x:v>12</x:v>
      </x:c>
    </x:row>
    <x:row r="10" ht="50" customHeight="1">
      <x:c r="A10" s="10" t="str">
        <x:v>Stat identity</x:v>
      </x:c>
      <x:c r="B10" s="3" t="str">
        <x:v>MAL favorites determine rarity. Rarity sets the bounded random BST. Canonical power and VS Battles tiers never set base stats.</x:v>
      </x:c>
      <x:c r="C10" s="3"/>
      <x:c r="D10" s="3"/>
      <x:c r="E10" s="3"/>
      <x:c r="F10" s="3"/>
      <x:c r="G10" s="3" t="str">
        <x:v>In progress</x:v>
      </x:c>
      <x:c r="H10" s="3" t="n">
        <x:f>COUNTIFS('Tracker'!$D$7:$D$82,G10)</x:f>
        <x:v>0</x:v>
      </x:c>
    </x:row>
    <x:row r="11" ht="50" customHeight="1">
      <x:c r="A11" s="10" t="str">
        <x:v>Save boundary</x:v>
      </x:c>
      <x:c r="B11" s="3" t="str">
        <x:v>Current saves are server-side JSON linked to browser import IDs. No account sign-in, cross-device save or multiplayer is implemented.</x:v>
      </x:c>
      <x:c r="C11" s="3"/>
      <x:c r="D11" s="3"/>
      <x:c r="E11" s="3"/>
      <x:c r="F11" s="3"/>
      <x:c r="G11" s="3" t="str">
        <x:v>Blocked</x:v>
      </x:c>
      <x:c r="H11" s="3" t="n">
        <x:f>COUNTIFS('Tracker'!$D$7:$D$82,G11)</x:f>
        <x:v>0</x:v>
      </x:c>
    </x:row>
    <x:row r="12" ht="50" customHeight="1">
      <x:c r="A12" s="10" t="str">
        <x:v>Inspection date</x:v>
      </x:c>
      <x:c r="B12" s="3" t="str">
        <x:v>12 Oct 2026. Baseline statuses reflect repository inspection and prior work; acceptance checks start Pending.</x:v>
      </x:c>
      <x:c r="C12" s="3"/>
      <x:c r="D12" s="3"/>
      <x:c r="E12" s="3"/>
      <x:c r="F12" s="3"/>
      <x:c r="G12" s="3" t="str">
        <x:v>Done</x:v>
      </x:c>
      <x:c r="H12" s="3" t="n">
        <x:f>COUNTIFS('Tracker'!$D$7:$D$82,G12)</x:f>
        <x:v>0</x:v>
      </x:c>
    </x:row>
    <x:row r="13" ht="50" customHeight="1">
      <x:c r="A13" s="10" t="str">
        <x:v>Working with this PRD</x:v>
      </x:c>
      <x:c r="B13" s="3" t="str">
        <x:v>Use Tracker dropdowns. Set acceptance to Pass only after checking Specifications. Filter Origin to separate your plans from suggestions.</x:v>
      </x:c>
      <x:c r="C13" s="3"/>
      <x:c r="D13" s="3"/>
      <x:c r="E13" s="3"/>
      <x:c r="F13" s="3"/>
      <x:c r="G13" s="3" t="str">
        <x:v>Deferred</x:v>
      </x:c>
      <x:c r="H13" s="3" t="n">
        <x:f>COUNTIFS('Tracker'!$D$7:$D$82,G13)</x:f>
        <x:v>0</x:v>
      </x:c>
    </x:row>
    <x:row r="14" ht="50" customHeight="1">
      <x:c r="A14" s="10" t="str">
        <x:v>Completion rule</x:v>
      </x:c>
      <x:c r="B14" s="3" t="str">
        <x:v>Reviewed complete becomes Checked only when status is Implemented/Done and acceptance check is Pass.</x:v>
      </x:c>
      <x:c r="C14" s="3"/>
      <x:c r="D14" s="3"/>
      <x:c r="E14" s="3"/>
      <x:c r="F14" s="3"/>
      <x:c r="G14" s="3" t="str">
        <x:v>Reviewed complete</x:v>
      </x:c>
      <x:c r="H14" s="3" t="n">
        <x:f>COUNTIFS('Tracker'!$I$7:$I$82,"Checked")</x:f>
        <x:v>0</x:v>
      </x:c>
    </x:row>
    <x:row r="15" ht="50" customHeight="1">
      <x:c r="A15" s="10" t="str">
        <x:v>Priorities</x:v>
      </x:c>
      <x:c r="B15" s="3" t="str">
        <x:v>P1 = recommended next work; P2 = after the foundation; P3 = later exploration; Maintain = existing behavior. Priorities are editable.</x:v>
      </x:c>
      <x:c r="C15" s="3"/>
      <x:c r="D15" s="3"/>
      <x:c r="E15" s="3"/>
      <x:c r="F15" s="3"/>
      <x:c r="G15" s="3"/>
      <x:c r="H15" s="3"/>
    </x:row>
    <x:row r="16" ht="50" customHeight="1">
      <x:c r="A16" s="10" t="str">
        <x:v>Release assumptions</x:v>
      </x:c>
      <x:c r="B16" s="3" t="str">
        <x:v>Phases are sequencing suggestions. No dates, estimates, owners or delivery commitments have been invented.</x:v>
      </x:c>
      <x:c r="C16" s="3"/>
      <x:c r="D16" s="3"/>
      <x:c r="E16" s="3"/>
      <x:c r="F16" s="3"/>
      <x:c r="G16" s="3"/>
      <x:c r="H16" s="3"/>
    </x:row>
    <x:row r="17" ht="30" customHeight="1">
      <x:c r="A17" s="3"/>
      <x:c r="B17" s="3"/>
      <x:c r="C17" s="3"/>
      <x:c r="D17" s="3"/>
      <x:c r="E17" s="3"/>
      <x:c r="F17" s="3"/>
      <x:c r="G17" s="5" t="str">
        <x:v>Current catalogs</x:v>
      </x:c>
      <x:c r="H17" s="5" t="str">
        <x:v>Entries</x:v>
      </x:c>
    </x:row>
    <x:row r="18" ht="30" customHeight="1">
      <x:c r="A18" s="3"/>
      <x:c r="B18" s="3"/>
      <x:c r="C18" s="3"/>
      <x:c r="D18" s="3"/>
      <x:c r="E18" s="3"/>
      <x:c r="F18" s="3"/>
      <x:c r="G18" s="3" t="str">
        <x:v>Ability descriptions</x:v>
      </x:c>
      <x:c r="H18" s="3" t="n">
        <x:v>64</x:v>
      </x:c>
    </x:row>
    <x:row r="19" ht="32" customHeight="1">
      <x:c r="A19" s="5" t="str">
        <x:v>Phase</x:v>
      </x:c>
      <x:c r="B19" s="5" t="str">
        <x:v>Purpose</x:v>
      </x:c>
      <x:c r="C19" s="5" t="str">
        <x:v>Start after</x:v>
      </x:c>
      <x:c r="D19" s="5" t="str">
        <x:v>Exit gate</x:v>
      </x:c>
      <x:c r="E19" s="5" t="str">
        <x:v>Scope status</x:v>
      </x:c>
      <x:c r="F19" s="3"/>
      <x:c r="G19" s="3" t="str">
        <x:v>Working character passives</x:v>
      </x:c>
      <x:c r="H19" s="3" t="n">
        <x:v>12</x:v>
      </x:c>
    </x:row>
    <x:row r="20" ht="95" customHeight="1">
      <x:c r="A20" s="3" t="str">
        <x:v>Foundations</x:v>
      </x:c>
      <x:c r="B20" s="3" t="str">
        <x:v>Reliable mechanics, saves and balance measurements</x:v>
      </x:c>
      <x:c r="C20" s="3" t="str">
        <x:v>Current prototype</x:v>
      </x:c>
      <x:c r="D20" s="3" t="str">
        <x:v>Regression baseline, save recovery and event schema work</x:v>
      </x:c>
      <x:c r="E20" s="3" t="str">
        <x:v>Recommended</x:v>
      </x:c>
      <x:c r="F20" s="3"/>
      <x:c r="G20" s="3" t="str">
        <x:v>Items</x:v>
      </x:c>
      <x:c r="H20" s="3" t="n">
        <x:v>8</x:v>
      </x:c>
    </x:row>
    <x:row r="21" ht="95" customHeight="1">
      <x:c r="A21" s="3" t="str">
        <x:v>Progression</x:v>
      </x:c>
      <x:c r="B21" s="3" t="str">
        <x:v>Boss mechanics and floor-based challenge</x:v>
      </x:c>
      <x:c r="C21" s="3" t="str">
        <x:v>Foundations gate</x:v>
      </x:c>
      <x:c r="D21" s="3" t="str">
        <x:v>Valid encounter pools, tested bands and reviewed difficulty curve</x:v>
      </x:c>
      <x:c r="E21" s="3" t="str">
        <x:v>User roadmap</x:v>
      </x:c>
      <x:c r="F21" s="3"/>
      <x:c r="G21" s="3" t="str">
        <x:v>Events</x:v>
      </x:c>
      <x:c r="H21" s="3" t="n">
        <x:v>2</x:v>
      </x:c>
    </x:row>
    <x:row r="22" ht="95" customHeight="1">
      <x:c r="A22" s="3" t="str">
        <x:v>Content</x:v>
      </x:c>
      <x:c r="B22" s="3" t="str">
        <x:v>More passives, items, events and stages</x:v>
      </x:c>
      <x:c r="C22" s="3" t="str">
        <x:v>Supporting mechanic exists</x:v>
      </x:c>
      <x:c r="D22" s="3" t="str">
        <x:v>Every new effect has tests, feedback and balancing notes</x:v>
      </x:c>
      <x:c r="E22" s="3" t="str">
        <x:v>User roadmap</x:v>
      </x:c>
      <x:c r="F22" s="3"/>
      <x:c r="G22" s="3" t="str">
        <x:v>Stages</x:v>
      </x:c>
      <x:c r="H22" s="3" t="n">
        <x:v>12</x:v>
      </x:c>
    </x:row>
    <x:row r="23" ht="95" customHeight="1">
      <x:c r="A23" s="3" t="str">
        <x:v>Later</x:v>
      </x:c>
      <x:c r="B23" s="3" t="str">
        <x:v>Achievements, identity, growth and possible PvP</x:v>
      </x:c>
      <x:c r="C23" s="3" t="str">
        <x:v>Stable run loop</x:v>
      </x:c>
      <x:c r="D23" s="3" t="str">
        <x:v>Approve design and persistence boundaries first</x:v>
      </x:c>
      <x:c r="E23" s="3" t="str">
        <x:v>Mixed plans/proposals</x:v>
      </x:c>
      <x:c r="F23" s="3"/>
      <x:c r="G23" s="3" t="str">
        <x:v>Bosses (stats only)</x:v>
      </x:c>
      <x:c r="H23" s="3" t="n">
        <x:v>5</x:v>
      </x:c>
    </x:row>
    <x:row r="24" ht="30" customHeight="1">
      <x:c r="A24" s="3"/>
      <x:c r="B24" s="3"/>
      <x:c r="C24" s="3"/>
      <x:c r="D24" s="3"/>
      <x:c r="E24" s="3"/>
      <x:c r="F24" s="3"/>
      <x:c r="G24" s="3"/>
      <x:c r="H24" s="3"/>
    </x:row>
    <x:row r="25" ht="30" customHeight="1">
      <x:c r="A25" s="3"/>
      <x:c r="B25" s="3"/>
      <x:c r="C25" s="3"/>
      <x:c r="D25" s="3"/>
      <x:c r="E25" s="3"/>
      <x:c r="F25" s="3"/>
      <x:c r="G25" s="3"/>
      <x:c r="H25" s="3"/>
    </x:row>
    <x:row r="26" ht="30" customHeight="1">
      <x:c r="A26" s="5" t="str">
        <x:v>Success criteria and constraints</x:v>
      </x:c>
      <x:c r="B26" s="5"/>
      <x:c r="C26" s="5"/>
      <x:c r="D26" s="5"/>
      <x:c r="E26" s="5"/>
      <x:c r="F26" s="3"/>
      <x:c r="G26" s="5" t="str">
        <x:v>Important current gaps</x:v>
      </x:c>
      <x:c r="H26" s="5"/>
    </x:row>
    <x:row r="27" ht="65" customHeight="1">
      <x:c r="A27" s="3" t="str">
        <x:v>Reliability</x:v>
      </x:c>
      <x:c r="B27" s="3" t="str">
        <x:v>Reload/retry cannot reroll saved stats, duplicate items, remove a second life or change a selected encounter.</x:v>
      </x:c>
      <x:c r="C27" s="3"/>
      <x:c r="D27" s="3"/>
      <x:c r="E27" s="3"/>
      <x:c r="F27" s="3"/>
      <x:c r="G27" s="3" t="str">
        <x:v>Boss passive effects are not active.</x:v>
      </x:c>
      <x:c r="H27" s="3"/>
    </x:row>
    <x:row r="28" ht="65" customHeight="1">
      <x:c r="A28" s="3" t="str">
        <x:v>Combat clarity</x:v>
      </x:c>
      <x:c r="B28" s="3" t="str">
        <x:v>Players can inspect effects, targets, ability triggers and outcome rules. Support touch, keyboard and reduced motion.</x:v>
      </x:c>
      <x:c r="C28" s="3"/>
      <x:c r="D28" s="3"/>
      <x:c r="E28" s="3"/>
      <x:c r="F28" s="3"/>
      <x:c r="G28" s="3" t="str">
        <x:v>Most cataloged passives are descriptions only.</x:v>
      </x:c>
      <x:c r="H28" s="3"/>
    </x:row>
    <x:row r="29" ht="65" customHeight="1">
      <x:c r="A29" s="3" t="str">
        <x:v>Balance measurement</x:v>
      </x:c>
      <x:c r="B29" s="3" t="str">
        <x:v>Measure encounter duration, win rate, stage outliers and median floor reached with seeded teams. Treat 20–40 seconds as an initial target, not a measured guarantee.</x:v>
      </x:c>
      <x:c r="C29" s="3"/>
      <x:c r="D29" s="3"/>
      <x:c r="E29" s="3"/>
      <x:c r="F29" s="3"/>
      <x:c r="G29" s="3" t="str">
        <x:v>Timed multi-passive scheduling needs review.</x:v>
      </x:c>
      <x:c r="H29" s="3"/>
    </x:row>
    <x:row r="30" ht="65" customHeight="1">
      <x:c r="A30" s="3" t="str">
        <x:v>Content safety</x:v>
      </x:c>
      <x:c r="B30" s="3" t="str">
        <x:v>Stable IDs and valid catalogs. Listed-only passives stay distinct from working effects. Bosses get mechanics only when implemented and tested.</x:v>
      </x:c>
      <x:c r="C30" s="3"/>
      <x:c r="D30" s="3"/>
      <x:c r="E30" s="3"/>
      <x:c r="F30" s="3"/>
      <x:c r="G30" s="3" t="str">
        <x:v>Floor-based enemy scaling is not implemented.</x:v>
      </x:c>
      <x:c r="H30" s="3"/>
    </x:row>
    <x:row r="31" ht="65" customHeight="1">
      <x:c r="A31" s="3" t="str">
        <x:v>Performance</x:v>
      </x:c>
      <x:c r="B31" s="3" t="str">
        <x:v>Preparation may be slow for large lists. Rolls and battles use prepared data. Add caching, bounded retries and measured budgets before setting numeric service targets.</x:v>
      </x:c>
      <x:c r="C31" s="3"/>
      <x:c r="D31" s="3"/>
      <x:c r="E31" s="3"/>
      <x:c r="F31" s="3"/>
      <x:c r="G31" s="3" t="str">
        <x:v>Achievements and signed-in saves are not implemented.</x:v>
      </x:c>
      <x:c r="H31" s="3"/>
    </x:row>
    <x:row r="32" ht="65" customHeight="1">
      <x:c r="A32" s="3" t="str">
        <x:v>Scope limits</x:v>
      </x:c>
      <x:c r="B32" s="3" t="str">
        <x:v>No real-money economy, canonical stat templates, element systems or level growth is required for the next progression release.</x:v>
      </x:c>
      <x:c r="C32" s="3"/>
      <x:c r="D32" s="3"/>
      <x:c r="E32" s="3"/>
      <x:c r="F32" s="3"/>
      <x:c r="G32" s="3" t="str">
        <x:v>README and some UI notes lag behind the code.</x:v>
      </x:c>
      <x:c r="H32" s="3"/>
    </x:row>
    <x:row r="33" ht="65" customHeight="1">
      <x:c r="A33" s="3" t="str">
        <x:v>Suggested next slice</x:v>
      </x:c>
      <x:c r="B33" s="3" t="str">
        <x:v>SUG-01/02/04/08 and PLAN-10/23 first. Then one boss passive, one progression band and one richer event before expanding all content.</x:v>
      </x:c>
      <x:c r="C33" s="3"/>
      <x:c r="D33" s="3"/>
      <x:c r="E33" s="3"/>
      <x:c r="F33" s="3"/>
      <x:c r="G33" s="3"/>
      <x:c r="H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</x:row>
    <x:row r="40" ht="30" customHeight="1">
      <x:c r="A40" s="3"/>
      <x:c r="B40" s="3"/>
      <x:c r="C40" s="3"/>
      <x:c r="D40" s="3"/>
      <x:c r="E40" s="3"/>
      <x:c r="F40" s="3"/>
      <x:c r="G40" s="3"/>
      <x:c r="H40" s="3"/>
    </x:row>
    <x:row r="41" ht="30" customHeight="1">
      <x:c r="A41" s="3"/>
      <x:c r="B41" s="3"/>
      <x:c r="C41" s="3"/>
      <x:c r="D41" s="3"/>
      <x:c r="E41" s="3"/>
      <x:c r="F41" s="3"/>
      <x:c r="G41" s="3"/>
      <x:c r="H41" s="3"/>
    </x:row>
    <x:row r="42" ht="30" customHeight="1">
      <x:c r="A42" s="3"/>
      <x:c r="B42" s="3"/>
      <x:c r="C42" s="3"/>
      <x:c r="D42" s="3"/>
      <x:c r="E42" s="3"/>
      <x:c r="F42" s="3"/>
      <x:c r="G42" s="3"/>
      <x:c r="H42" s="3"/>
    </x:row>
  </x:sheetData>
  <x:mergeCells>
    <x:mergeCell ref="A2:H2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B16:E16"/>
    <x:mergeCell ref="A26:E26"/>
    <x:mergeCell ref="B27:E27"/>
    <x:mergeCell ref="B28:E28"/>
    <x:mergeCell ref="B29:E29"/>
    <x:mergeCell ref="B30:E30"/>
    <x:mergeCell ref="B31:E31"/>
    <x:mergeCell ref="B32:E32"/>
    <x:mergeCell ref="B33:E33"/>
    <x:mergeCell ref="G26:H26"/>
    <x:mergeCell ref="G27:H27"/>
    <x:mergeCell ref="G28:H28"/>
    <x:mergeCell ref="G29:H29"/>
    <x:mergeCell ref="G30:H30"/>
    <x:mergeCell ref="G31:H31"/>
    <x:mergeCell ref="G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.130000114440918" hidden="0" customWidth="1"/>
    <x:col min="2" max="2" width="13.75" hidden="0" customWidth="1"/>
    <x:col min="3" max="3" width="40" hidden="0" customWidth="1"/>
    <x:col min="4" max="4" width="15" hidden="0" customWidth="1"/>
    <x:col min="5" max="5" width="11.25" hidden="0" customWidth="1"/>
    <x:col min="6" max="6" width="15" hidden="0" customWidth="1"/>
    <x:col min="7" max="7" width="14.380000114440918" hidden="0" customWidth="1"/>
    <x:col min="8" max="8" width="16.8799991607666" hidden="0" customWidth="1"/>
    <x:col min="9" max="9" width="18.75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MALGacha requirements tracker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4" ht="32" customHeight="1">
      <x:c r="A4" s="3" t="str">
        <x:v>Filter Status / Phase / Origin. Acceptance check is editable. Implemented means present in code, not production-approved.</x:v>
      </x:c>
      <x:c r="B4" s="3"/>
      <x:c r="C4" s="3"/>
      <x:c r="D4" s="3"/>
      <x:c r="E4" s="3"/>
      <x:c r="F4" s="3"/>
      <x:c r="G4" s="3"/>
      <x:c r="H4" s="3"/>
      <x:c r="I4" s="3"/>
    </x:row>
    <x:row r="5" ht="30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32" customHeight="1">
      <x:c r="A6" s="6" t="str">
        <x:v>ID</x:v>
      </x:c>
      <x:c r="B6" s="6" t="str">
        <x:v>Area</x:v>
      </x:c>
      <x:c r="C6" s="6" t="str">
        <x:v>Feature</x:v>
      </x:c>
      <x:c r="D6" s="6" t="str">
        <x:v>Status</x:v>
      </x:c>
      <x:c r="E6" s="6" t="str">
        <x:v>Priority</x:v>
      </x:c>
      <x:c r="F6" s="6" t="str">
        <x:v>Phase</x:v>
      </x:c>
      <x:c r="G6" s="6" t="str">
        <x:v>Origin</x:v>
      </x:c>
      <x:c r="H6" s="6" t="str">
        <x:v>Acceptance check</x:v>
      </x:c>
      <x:c r="I6" s="6" t="str">
        <x:v>Reviewed complete</x:v>
      </x:c>
    </x:row>
    <x:row r="7" ht="48" customHeight="1">
      <x:c r="A7" s="3" t="str">
        <x:v>CORE-01</x:v>
      </x:c>
      <x:c r="B7" s="3" t="str">
        <x:v>Import</x:v>
      </x:c>
      <x:c r="C7" s="3" t="str">
        <x:v>Public MAL profiles and demo</x:v>
      </x:c>
      <x:c r="D7" s="9" t="str">
        <x:v>Implemented</x:v>
      </x:c>
      <x:c r="E7" s="9" t="str">
        <x:v>Maintain</x:v>
      </x:c>
      <x:c r="F7" s="9" t="str">
        <x:v>Baseline</x:v>
      </x:c>
      <x:c r="G7" s="9" t="str">
        <x:v>Existing</x:v>
      </x:c>
      <x:c r="H7" s="9" t="str">
        <x:v>Pending</x:v>
      </x:c>
      <x:c r="I7" s="3" t="str">
        <x:f>IF(AND(OR(D7="Implemented",D7="Done"),H7="Pass"),"Checked","Open")</x:f>
        <x:v>Open</x:v>
      </x:c>
    </x:row>
    <x:row r="8" ht="48" customHeight="1">
      <x:c r="A8" s="3" t="str">
        <x:v>CORE-02</x:v>
      </x:c>
      <x:c r="B8" s="3" t="str">
        <x:v>Import</x:v>
      </x:c>
      <x:c r="C8" s="3" t="str">
        <x:v>Deduplicated character pool</x:v>
      </x:c>
      <x:c r="D8" s="9" t="str">
        <x:v>Implemented</x:v>
      </x:c>
      <x:c r="E8" s="9" t="str">
        <x:v>Maintain</x:v>
      </x:c>
      <x:c r="F8" s="9" t="str">
        <x:v>Baseline</x:v>
      </x:c>
      <x:c r="G8" s="9" t="str">
        <x:v>Existing</x:v>
      </x:c>
      <x:c r="H8" s="9" t="str">
        <x:v>Pending</x:v>
      </x:c>
      <x:c r="I8" s="3" t="str">
        <x:f>IF(AND(OR(D8="Implemented",D8="Done"),H8="Pass"),"Checked","Open")</x:f>
        <x:v>Open</x:v>
      </x:c>
    </x:row>
    <x:row r="9" ht="48" customHeight="1">
      <x:c r="A9" s="3" t="str">
        <x:v>CORE-03</x:v>
      </x:c>
      <x:c r="B9" s="3" t="str">
        <x:v>Import</x:v>
      </x:c>
      <x:c r="C9" s="3" t="str">
        <x:v>Progress, cancel and resume</x:v>
      </x:c>
      <x:c r="D9" s="9" t="str">
        <x:v>Implemented</x:v>
      </x:c>
      <x:c r="E9" s="9" t="str">
        <x:v>Maintain</x:v>
      </x:c>
      <x:c r="F9" s="9" t="str">
        <x:v>Baseline</x:v>
      </x:c>
      <x:c r="G9" s="9" t="str">
        <x:v>Existing</x:v>
      </x:c>
      <x:c r="H9" s="9" t="str">
        <x:v>Pending</x:v>
      </x:c>
      <x:c r="I9" s="3" t="str">
        <x:f>IF(AND(OR(D9="Implemented",D9="Done"),H9="Pass"),"Checked","Open")</x:f>
        <x:v>Open</x:v>
      </x:c>
    </x:row>
    <x:row r="10" ht="48" customHeight="1">
      <x:c r="A10" s="3" t="str">
        <x:v>CORE-04</x:v>
      </x:c>
      <x:c r="B10" s="3" t="str">
        <x:v>Lottery</x:v>
      </x:c>
      <x:c r="C10" s="3" t="str">
        <x:v>Early draws and instant pool draws</x:v>
      </x:c>
      <x:c r="D10" s="9" t="str">
        <x:v>Implemented</x:v>
      </x:c>
      <x:c r="E10" s="9" t="str">
        <x:v>Maintain</x:v>
      </x:c>
      <x:c r="F10" s="9" t="str">
        <x:v>Baseline</x:v>
      </x:c>
      <x:c r="G10" s="9" t="str">
        <x:v>Existing</x:v>
      </x:c>
      <x:c r="H10" s="9" t="str">
        <x:v>Pending</x:v>
      </x:c>
      <x:c r="I10" s="3" t="str">
        <x:f>IF(AND(OR(D10="Implemented",D10="Done"),H10="Pass"),"Checked","Open")</x:f>
        <x:v>Open</x:v>
      </x:c>
    </x:row>
    <x:row r="11" ht="48" customHeight="1">
      <x:c r="A11" s="3" t="str">
        <x:v>CORE-05</x:v>
      </x:c>
      <x:c r="B11" s="3" t="str">
        <x:v>Lottery</x:v>
      </x:c>
      <x:c r="C11" s="3" t="str">
        <x:v>Popularity filter</x:v>
      </x:c>
      <x:c r="D11" s="9" t="str">
        <x:v>Implemented</x:v>
      </x:c>
      <x:c r="E11" s="9" t="str">
        <x:v>Maintain</x:v>
      </x:c>
      <x:c r="F11" s="9" t="str">
        <x:v>Baseline</x:v>
      </x:c>
      <x:c r="G11" s="9" t="str">
        <x:v>Existing</x:v>
      </x:c>
      <x:c r="H11" s="9" t="str">
        <x:v>Pending</x:v>
      </x:c>
      <x:c r="I11" s="3" t="str">
        <x:f>IF(AND(OR(D11="Implemented",D11="Done"),H11="Pass"),"Checked","Open")</x:f>
        <x:v>Open</x:v>
      </x:c>
    </x:row>
    <x:row r="12" ht="48" customHeight="1">
      <x:c r="A12" s="3" t="str">
        <x:v>CORE-06</x:v>
      </x:c>
      <x:c r="B12" s="3" t="str">
        <x:v>Presentation</x:v>
      </x:c>
      <x:c r="C12" s="3" t="str">
        <x:v>Rarity and portrait styling</x:v>
      </x:c>
      <x:c r="D12" s="9" t="str">
        <x:v>Implemented</x:v>
      </x:c>
      <x:c r="E12" s="9" t="str">
        <x:v>Maintain</x:v>
      </x:c>
      <x:c r="F12" s="9" t="str">
        <x:v>Baseline</x:v>
      </x:c>
      <x:c r="G12" s="9" t="str">
        <x:v>Existing</x:v>
      </x:c>
      <x:c r="H12" s="9" t="str">
        <x:v>Pending</x:v>
      </x:c>
      <x:c r="I12" s="3" t="str">
        <x:f>IF(AND(OR(D12="Implemented",D12="Done"),H12="Pass"),"Checked","Open")</x:f>
        <x:v>Open</x:v>
      </x:c>
    </x:row>
    <x:row r="13" ht="48" customHeight="1">
      <x:c r="A13" s="3" t="str">
        <x:v>MATCH-01</x:v>
      </x:c>
      <x:c r="B13" s="3" t="str">
        <x:v>MALchups</x:v>
      </x:c>
      <x:c r="C13" s="3" t="str">
        <x:v>Shared draw size and mirrored panels</x:v>
      </x:c>
      <x:c r="D13" s="9" t="str">
        <x:v>Implemented</x:v>
      </x:c>
      <x:c r="E13" s="9" t="str">
        <x:v>Maintain</x:v>
      </x:c>
      <x:c r="F13" s="9" t="str">
        <x:v>Baseline</x:v>
      </x:c>
      <x:c r="G13" s="9" t="str">
        <x:v>Existing</x:v>
      </x:c>
      <x:c r="H13" s="9" t="str">
        <x:v>Pending</x:v>
      </x:c>
      <x:c r="I13" s="3" t="str">
        <x:f>IF(AND(OR(D13="Implemented",D13="Done"),H13="Pass"),"Checked","Open")</x:f>
        <x:v>Open</x:v>
      </x:c>
    </x:row>
    <x:row r="14" ht="48" customHeight="1">
      <x:c r="A14" s="3" t="str">
        <x:v>MATCH-02</x:v>
      </x:c>
      <x:c r="B14" s="3" t="str">
        <x:v>MALchups</x:v>
      </x:c>
      <x:c r="C14" s="3" t="str">
        <x:v>Draw &amp; Fight</x:v>
      </x:c>
      <x:c r="D14" s="9" t="str">
        <x:v>Implemented</x:v>
      </x:c>
      <x:c r="E14" s="9" t="str">
        <x:v>Maintain</x:v>
      </x:c>
      <x:c r="F14" s="9" t="str">
        <x:v>Baseline</x:v>
      </x:c>
      <x:c r="G14" s="9" t="str">
        <x:v>Existing</x:v>
      </x:c>
      <x:c r="H14" s="9" t="str">
        <x:v>Pending</x:v>
      </x:c>
      <x:c r="I14" s="3" t="str">
        <x:f>IF(AND(OR(D14="Implemented",D14="Done"),H14="Pass"),"Checked","Open")</x:f>
        <x:v>Open</x:v>
      </x:c>
    </x:row>
    <x:row r="15" ht="48" customHeight="1">
      <x:c r="A15" s="3" t="str">
        <x:v>MATCH-03</x:v>
      </x:c>
      <x:c r="B15" s="3" t="str">
        <x:v>MALchups</x:v>
      </x:c>
      <x:c r="C15" s="3" t="str">
        <x:v>Cloutscaling</x:v>
      </x:c>
      <x:c r="D15" s="9" t="str">
        <x:v>Implemented</x:v>
      </x:c>
      <x:c r="E15" s="9" t="str">
        <x:v>Maintain</x:v>
      </x:c>
      <x:c r="F15" s="9" t="str">
        <x:v>Baseline</x:v>
      </x:c>
      <x:c r="G15" s="9" t="str">
        <x:v>Existing</x:v>
      </x:c>
      <x:c r="H15" s="9" t="str">
        <x:v>Pending</x:v>
      </x:c>
      <x:c r="I15" s="3" t="str">
        <x:f>IF(AND(OR(D15="Implemented",D15="Done"),H15="Pass"),"Checked","Open")</x:f>
        <x:v>Open</x:v>
      </x:c>
    </x:row>
    <x:row r="16" ht="48" customHeight="1">
      <x:c r="A16" s="3" t="str">
        <x:v>MATCH-04</x:v>
      </x:c>
      <x:c r="B16" s="3" t="str">
        <x:v>MALchups</x:v>
      </x:c>
      <x:c r="C16" s="3" t="str">
        <x:v>Writingscaling</x:v>
      </x:c>
      <x:c r="D16" s="9" t="str">
        <x:v>Implemented</x:v>
      </x:c>
      <x:c r="E16" s="9" t="str">
        <x:v>Maintain</x:v>
      </x:c>
      <x:c r="F16" s="9" t="str">
        <x:v>Baseline</x:v>
      </x:c>
      <x:c r="G16" s="9" t="str">
        <x:v>Existing</x:v>
      </x:c>
      <x:c r="H16" s="9" t="str">
        <x:v>Pending</x:v>
      </x:c>
      <x:c r="I16" s="3" t="str">
        <x:f>IF(AND(OR(D16="Implemented",D16="Done"),H16="Pass"),"Checked","Open")</x:f>
        <x:v>Open</x:v>
      </x:c>
    </x:row>
    <x:row r="17" ht="48" customHeight="1">
      <x:c r="A17" s="3" t="str">
        <x:v>MATCH-05</x:v>
      </x:c>
      <x:c r="B17" s="3" t="str">
        <x:v>MALchups</x:v>
      </x:c>
      <x:c r="C17" s="3" t="str">
        <x:v>Powerscaling and name matching</x:v>
      </x:c>
      <x:c r="D17" s="9" t="str">
        <x:v>Implemented</x:v>
      </x:c>
      <x:c r="E17" s="9" t="str">
        <x:v>Maintain</x:v>
      </x:c>
      <x:c r="F17" s="9" t="str">
        <x:v>Baseline</x:v>
      </x:c>
      <x:c r="G17" s="9" t="str">
        <x:v>Existing</x:v>
      </x:c>
      <x:c r="H17" s="9" t="str">
        <x:v>Pending</x:v>
      </x:c>
      <x:c r="I17" s="3" t="str">
        <x:f>IF(AND(OR(D17="Implemented",D17="Done"),H17="Pass"),"Checked","Open")</x:f>
        <x:v>Open</x:v>
      </x:c>
    </x:row>
    <x:row r="18" ht="48" customHeight="1">
      <x:c r="A18" s="3" t="str">
        <x:v>JOUR-01</x:v>
      </x:c>
      <x:c r="B18" s="3" t="str">
        <x:v>Journeys</x:v>
      </x:c>
      <x:c r="C18" s="3" t="str">
        <x:v>Starting team with guaranteed listed passive</x:v>
      </x:c>
      <x:c r="D18" s="9" t="str">
        <x:v>Implemented</x:v>
      </x:c>
      <x:c r="E18" s="9" t="str">
        <x:v>Maintain</x:v>
      </x:c>
      <x:c r="F18" s="9" t="str">
        <x:v>Baseline</x:v>
      </x:c>
      <x:c r="G18" s="9" t="str">
        <x:v>Existing</x:v>
      </x:c>
      <x:c r="H18" s="9" t="str">
        <x:v>Pending</x:v>
      </x:c>
      <x:c r="I18" s="3" t="str">
        <x:f>IF(AND(OR(D18="Implemented",D18="Done"),H18="Pass"),"Checked","Open")</x:f>
        <x:v>Open</x:v>
      </x:c>
    </x:row>
    <x:row r="19" ht="48" customHeight="1">
      <x:c r="A19" s="3" t="str">
        <x:v>JOUR-02</x:v>
      </x:c>
      <x:c r="B19" s="3" t="str">
        <x:v>Journeys</x:v>
      </x:c>
      <x:c r="C19" s="3" t="str">
        <x:v>Saved rolled base stats</x:v>
      </x:c>
      <x:c r="D19" s="9" t="str">
        <x:v>Implemented</x:v>
      </x:c>
      <x:c r="E19" s="9" t="str">
        <x:v>Maintain</x:v>
      </x:c>
      <x:c r="F19" s="9" t="str">
        <x:v>Baseline</x:v>
      </x:c>
      <x:c r="G19" s="9" t="str">
        <x:v>Existing</x:v>
      </x:c>
      <x:c r="H19" s="9" t="str">
        <x:v>Pending</x:v>
      </x:c>
      <x:c r="I19" s="3" t="str">
        <x:f>IF(AND(OR(D19="Implemented",D19="Done"),H19="Pass"),"Checked","Open")</x:f>
        <x:v>Open</x:v>
      </x:c>
    </x:row>
    <x:row r="20" ht="48" customHeight="1">
      <x:c r="A20" s="3" t="str">
        <x:v>JOUR-03</x:v>
      </x:c>
      <x:c r="B20" s="3" t="str">
        <x:v>Journeys</x:v>
      </x:c>
      <x:c r="C20" s="3" t="str">
        <x:v>Expandable stats and ability tooltips</x:v>
      </x:c>
      <x:c r="D20" s="9" t="str">
        <x:v>Implemented</x:v>
      </x:c>
      <x:c r="E20" s="9" t="str">
        <x:v>Maintain</x:v>
      </x:c>
      <x:c r="F20" s="9" t="str">
        <x:v>Baseline</x:v>
      </x:c>
      <x:c r="G20" s="9" t="str">
        <x:v>Existing</x:v>
      </x:c>
      <x:c r="H20" s="9" t="str">
        <x:v>Pending</x:v>
      </x:c>
      <x:c r="I20" s="3" t="str">
        <x:f>IF(AND(OR(D20="Implemented",D20="Done"),H20="Pass"),"Checked","Open")</x:f>
        <x:v>Open</x:v>
      </x:c>
    </x:row>
    <x:row r="21" ht="48" customHeight="1">
      <x:c r="A21" s="3" t="str">
        <x:v>JOUR-04</x:v>
      </x:c>
      <x:c r="B21" s="3" t="str">
        <x:v>Journeys</x:v>
      </x:c>
      <x:c r="C21" s="3" t="str">
        <x:v>Adventure, Battle and Inventory views</x:v>
      </x:c>
      <x:c r="D21" s="9" t="str">
        <x:v>Implemented</x:v>
      </x:c>
      <x:c r="E21" s="9" t="str">
        <x:v>Maintain</x:v>
      </x:c>
      <x:c r="F21" s="9" t="str">
        <x:v>Baseline</x:v>
      </x:c>
      <x:c r="G21" s="9" t="str">
        <x:v>Existing</x:v>
      </x:c>
      <x:c r="H21" s="9" t="str">
        <x:v>Pending</x:v>
      </x:c>
      <x:c r="I21" s="3" t="str">
        <x:f>IF(AND(OR(D21="Implemented",D21="Done"),H21="Pass"),"Checked","Open")</x:f>
        <x:v>Open</x:v>
      </x:c>
    </x:row>
    <x:row r="22" ht="48" customHeight="1">
      <x:c r="A22" s="3" t="str">
        <x:v>JOUR-05</x:v>
      </x:c>
      <x:c r="B22" s="3" t="str">
        <x:v>Journeys</x:v>
      </x:c>
      <x:c r="C22" s="3" t="str">
        <x:v>Opponent choice and victory replacement</x:v>
      </x:c>
      <x:c r="D22" s="9" t="str">
        <x:v>Implemented</x:v>
      </x:c>
      <x:c r="E22" s="9" t="str">
        <x:v>Maintain</x:v>
      </x:c>
      <x:c r="F22" s="9" t="str">
        <x:v>Baseline</x:v>
      </x:c>
      <x:c r="G22" s="9" t="str">
        <x:v>Existing</x:v>
      </x:c>
      <x:c r="H22" s="9" t="str">
        <x:v>Pending</x:v>
      </x:c>
      <x:c r="I22" s="3" t="str">
        <x:f>IF(AND(OR(D22="Implemented",D22="Done"),H22="Pass"),"Checked","Open")</x:f>
        <x:v>Open</x:v>
      </x:c>
    </x:row>
    <x:row r="23" ht="48" customHeight="1">
      <x:c r="A23" s="3" t="str">
        <x:v>JOUR-06</x:v>
      </x:c>
      <x:c r="B23" s="3" t="str">
        <x:v>Journeys</x:v>
      </x:c>
      <x:c r="C23" s="3" t="str">
        <x:v>Three lives and run reset</x:v>
      </x:c>
      <x:c r="D23" s="9" t="str">
        <x:v>Implemented</x:v>
      </x:c>
      <x:c r="E23" s="9" t="str">
        <x:v>Maintain</x:v>
      </x:c>
      <x:c r="F23" s="9" t="str">
        <x:v>Baseline</x:v>
      </x:c>
      <x:c r="G23" s="9" t="str">
        <x:v>Existing</x:v>
      </x:c>
      <x:c r="H23" s="9" t="str">
        <x:v>Pending</x:v>
      </x:c>
      <x:c r="I23" s="3" t="str">
        <x:f>IF(AND(OR(D23="Implemented",D23="Done"),H23="Pass"),"Checked","Open")</x:f>
        <x:v>Open</x:v>
      </x:c>
    </x:row>
    <x:row r="24" ht="48" customHeight="1">
      <x:c r="A24" s="3" t="str">
        <x:v>BATTLE-01</x:v>
      </x:c>
      <x:c r="B24" s="3" t="str">
        <x:v>Battle</x:v>
      </x:c>
      <x:c r="C24" s="3" t="str">
        <x:v>ATB idle autobattler</x:v>
      </x:c>
      <x:c r="D24" s="9" t="str">
        <x:v>Implemented</x:v>
      </x:c>
      <x:c r="E24" s="9" t="str">
        <x:v>Maintain</x:v>
      </x:c>
      <x:c r="F24" s="9" t="str">
        <x:v>Baseline</x:v>
      </x:c>
      <x:c r="G24" s="9" t="str">
        <x:v>Existing</x:v>
      </x:c>
      <x:c r="H24" s="9" t="str">
        <x:v>Pending</x:v>
      </x:c>
      <x:c r="I24" s="3" t="str">
        <x:f>IF(AND(OR(D24="Implemented",D24="Done"),H24="Pass"),"Checked","Open")</x:f>
        <x:v>Open</x:v>
      </x:c>
    </x:row>
    <x:row r="25" ht="48" customHeight="1">
      <x:c r="A25" s="3" t="str">
        <x:v>BATTLE-02</x:v>
      </x:c>
      <x:c r="B25" s="3" t="str">
        <x:v>Battle</x:v>
      </x:c>
      <x:c r="C25" s="3" t="str">
        <x:v>Server result and background playback</x:v>
      </x:c>
      <x:c r="D25" s="9" t="str">
        <x:v>Implemented</x:v>
      </x:c>
      <x:c r="E25" s="9" t="str">
        <x:v>Maintain</x:v>
      </x:c>
      <x:c r="F25" s="9" t="str">
        <x:v>Baseline</x:v>
      </x:c>
      <x:c r="G25" s="9" t="str">
        <x:v>Existing</x:v>
      </x:c>
      <x:c r="H25" s="9" t="str">
        <x:v>Pending</x:v>
      </x:c>
      <x:c r="I25" s="3" t="str">
        <x:f>IF(AND(OR(D25="Implemented",D25="Done"),H25="Pass"),"Checked","Open")</x:f>
        <x:v>Open</x:v>
      </x:c>
    </x:row>
    <x:row r="26" ht="48" customHeight="1">
      <x:c r="A26" s="3" t="str">
        <x:v>BATTLE-03</x:v>
      </x:c>
      <x:c r="B26" s="3" t="str">
        <x:v>Battle</x:v>
      </x:c>
      <x:c r="C26" s="3" t="str">
        <x:v>Turbo Mode testing toggle</x:v>
      </x:c>
      <x:c r="D26" s="9" t="str">
        <x:v>Implemented</x:v>
      </x:c>
      <x:c r="E26" s="9" t="str">
        <x:v>Maintain</x:v>
      </x:c>
      <x:c r="F26" s="9" t="str">
        <x:v>Baseline</x:v>
      </x:c>
      <x:c r="G26" s="9" t="str">
        <x:v>Existing</x:v>
      </x:c>
      <x:c r="H26" s="9" t="str">
        <x:v>Pending</x:v>
      </x:c>
      <x:c r="I26" s="3" t="str">
        <x:f>IF(AND(OR(D26="Implemented",D26="Done"),H26="Pass"),"Checked","Open")</x:f>
        <x:v>Open</x:v>
      </x:c>
    </x:row>
    <x:row r="27" ht="48" customHeight="1">
      <x:c r="A27" s="3" t="str">
        <x:v>ABILITY-01</x:v>
      </x:c>
      <x:c r="B27" s="3" t="str">
        <x:v>Abilities</x:v>
      </x:c>
      <x:c r="C27" s="3" t="str">
        <x:v>Ability descriptions and 12 working passives</x:v>
      </x:c>
      <x:c r="D27" s="9" t="str">
        <x:v>Partial</x:v>
      </x:c>
      <x:c r="E27" s="9" t="str">
        <x:v>Maintain</x:v>
      </x:c>
      <x:c r="F27" s="9" t="str">
        <x:v>Baseline</x:v>
      </x:c>
      <x:c r="G27" s="9" t="str">
        <x:v>Existing</x:v>
      </x:c>
      <x:c r="H27" s="9" t="str">
        <x:v>Pending</x:v>
      </x:c>
      <x:c r="I27" s="3" t="str">
        <x:f>IF(AND(OR(D27="Implemented",D27="Done"),H27="Pass"),"Checked","Open")</x:f>
        <x:v>Open</x:v>
      </x:c>
    </x:row>
    <x:row r="28" ht="48" customHeight="1">
      <x:c r="A28" s="3" t="str">
        <x:v>BATTLE-04</x:v>
      </x:c>
      <x:c r="B28" s="3" t="str">
        <x:v>Battle</x:v>
      </x:c>
      <x:c r="C28" s="3" t="str">
        <x:v>Statuses, keywords and multiple abilities</x:v>
      </x:c>
      <x:c r="D28" s="9" t="str">
        <x:v>Implemented</x:v>
      </x:c>
      <x:c r="E28" s="9" t="str">
        <x:v>Maintain</x:v>
      </x:c>
      <x:c r="F28" s="9" t="str">
        <x:v>Baseline</x:v>
      </x:c>
      <x:c r="G28" s="9" t="str">
        <x:v>Existing</x:v>
      </x:c>
      <x:c r="H28" s="9" t="str">
        <x:v>Pending</x:v>
      </x:c>
      <x:c r="I28" s="3" t="str">
        <x:f>IF(AND(OR(D28="Implemented",D28="Done"),H28="Pass"),"Checked","Open")</x:f>
        <x:v>Open</x:v>
      </x:c>
    </x:row>
    <x:row r="29" ht="48" customHeight="1">
      <x:c r="A29" s="3" t="str">
        <x:v>ITEM-01</x:v>
      </x:c>
      <x:c r="B29" s="3" t="str">
        <x:v>Items</x:v>
      </x:c>
      <x:c r="C29" s="3" t="str">
        <x:v>Inventory and item categories</x:v>
      </x:c>
      <x:c r="D29" s="9" t="str">
        <x:v>Implemented</x:v>
      </x:c>
      <x:c r="E29" s="9" t="str">
        <x:v>Maintain</x:v>
      </x:c>
      <x:c r="F29" s="9" t="str">
        <x:v>Baseline</x:v>
      </x:c>
      <x:c r="G29" s="9" t="str">
        <x:v>Existing</x:v>
      </x:c>
      <x:c r="H29" s="9" t="str">
        <x:v>Pending</x:v>
      </x:c>
      <x:c r="I29" s="3" t="str">
        <x:f>IF(AND(OR(D29="Implemented",D29="Done"),H29="Pass"),"Checked","Open")</x:f>
        <x:v>Open</x:v>
      </x:c>
    </x:row>
    <x:row r="30" ht="48" customHeight="1">
      <x:c r="A30" s="3" t="str">
        <x:v>ITEM-02</x:v>
      </x:c>
      <x:c r="B30" s="3" t="str">
        <x:v>Items</x:v>
      </x:c>
      <x:c r="C30" s="3" t="str">
        <x:v>Equipment and stacking</x:v>
      </x:c>
      <x:c r="D30" s="9" t="str">
        <x:v>Implemented</x:v>
      </x:c>
      <x:c r="E30" s="9" t="str">
        <x:v>Maintain</x:v>
      </x:c>
      <x:c r="F30" s="9" t="str">
        <x:v>Baseline</x:v>
      </x:c>
      <x:c r="G30" s="9" t="str">
        <x:v>Existing</x:v>
      </x:c>
      <x:c r="H30" s="9" t="str">
        <x:v>Pending</x:v>
      </x:c>
      <x:c r="I30" s="3" t="str">
        <x:f>IF(AND(OR(D30="Implemented",D30="Done"),H30="Pass"),"Checked","Open")</x:f>
        <x:v>Open</x:v>
      </x:c>
    </x:row>
    <x:row r="31" ht="48" customHeight="1">
      <x:c r="A31" s="3" t="str">
        <x:v>ITEM-03</x:v>
      </x:c>
      <x:c r="B31" s="3" t="str">
        <x:v>Items</x:v>
      </x:c>
      <x:c r="C31" s="3" t="str">
        <x:v>Relics and extra team slots</x:v>
      </x:c>
      <x:c r="D31" s="9" t="str">
        <x:v>Implemented</x:v>
      </x:c>
      <x:c r="E31" s="9" t="str">
        <x:v>Maintain</x:v>
      </x:c>
      <x:c r="F31" s="9" t="str">
        <x:v>Baseline</x:v>
      </x:c>
      <x:c r="G31" s="9" t="str">
        <x:v>Existing</x:v>
      </x:c>
      <x:c r="H31" s="9" t="str">
        <x:v>Pending</x:v>
      </x:c>
      <x:c r="I31" s="3" t="str">
        <x:f>IF(AND(OR(D31="Implemented",D31="Done"),H31="Pass"),"Checked","Open")</x:f>
        <x:v>Open</x:v>
      </x:c>
    </x:row>
    <x:row r="32" ht="48" customHeight="1">
      <x:c r="A32" s="3" t="str">
        <x:v>ITEM-04</x:v>
      </x:c>
      <x:c r="B32" s="3" t="str">
        <x:v>Items</x:v>
      </x:c>
      <x:c r="C32" s="3" t="str">
        <x:v>Consumables, transformations and empty slots</x:v>
      </x:c>
      <x:c r="D32" s="9" t="str">
        <x:v>Implemented</x:v>
      </x:c>
      <x:c r="E32" s="9" t="str">
        <x:v>Maintain</x:v>
      </x:c>
      <x:c r="F32" s="9" t="str">
        <x:v>Baseline</x:v>
      </x:c>
      <x:c r="G32" s="9" t="str">
        <x:v>Existing</x:v>
      </x:c>
      <x:c r="H32" s="9" t="str">
        <x:v>Pending</x:v>
      </x:c>
      <x:c r="I32" s="3" t="str">
        <x:f>IF(AND(OR(D32="Implemented",D32="Done"),H32="Pass"),"Checked","Open")</x:f>
        <x:v>Open</x:v>
      </x:c>
    </x:row>
    <x:row r="33" ht="48" customHeight="1">
      <x:c r="A33" s="3" t="str">
        <x:v>ITEM-05</x:v>
      </x:c>
      <x:c r="B33" s="3" t="str">
        <x:v>Items</x:v>
      </x:c>
      <x:c r="C33" s="3" t="str">
        <x:v>Item choice every five cleared floors</x:v>
      </x:c>
      <x:c r="D33" s="9" t="str">
        <x:v>Implemented</x:v>
      </x:c>
      <x:c r="E33" s="9" t="str">
        <x:v>Maintain</x:v>
      </x:c>
      <x:c r="F33" s="9" t="str">
        <x:v>Baseline</x:v>
      </x:c>
      <x:c r="G33" s="9" t="str">
        <x:v>Existing</x:v>
      </x:c>
      <x:c r="H33" s="9" t="str">
        <x:v>Pending</x:v>
      </x:c>
      <x:c r="I33" s="3" t="str">
        <x:f>IF(AND(OR(D33="Implemented",D33="Done"),H33="Pass"),"Checked","Open")</x:f>
        <x:v>Open</x:v>
      </x:c>
    </x:row>
    <x:row r="34" ht="48" customHeight="1">
      <x:c r="A34" s="3" t="str">
        <x:v>BOSS-01</x:v>
      </x:c>
      <x:c r="B34" s="3" t="str">
        <x:v>Bosses</x:v>
      </x:c>
      <x:c r="C34" s="3" t="str">
        <x:v>Five bosses and tenth-floor encounters</x:v>
      </x:c>
      <x:c r="D34" s="9" t="str">
        <x:v>Implemented</x:v>
      </x:c>
      <x:c r="E34" s="9" t="str">
        <x:v>Maintain</x:v>
      </x:c>
      <x:c r="F34" s="9" t="str">
        <x:v>Baseline</x:v>
      </x:c>
      <x:c r="G34" s="9" t="str">
        <x:v>Existing</x:v>
      </x:c>
      <x:c r="H34" s="9" t="str">
        <x:v>Pending</x:v>
      </x:c>
      <x:c r="I34" s="3" t="str">
        <x:f>IF(AND(OR(D34="Implemented",D34="Done"),H34="Pass"),"Checked","Open")</x:f>
        <x:v>Open</x:v>
      </x:c>
    </x:row>
    <x:row r="35" ht="48" customHeight="1">
      <x:c r="A35" s="3" t="str">
        <x:v>BOSS-02</x:v>
      </x:c>
      <x:c r="B35" s="3" t="str">
        <x:v>Bosses</x:v>
      </x:c>
      <x:c r="C35" s="3" t="str">
        <x:v>Boss passive descriptions</x:v>
      </x:c>
      <x:c r="D35" s="9" t="str">
        <x:v>Partial</x:v>
      </x:c>
      <x:c r="E35" s="9" t="str">
        <x:v>Maintain</x:v>
      </x:c>
      <x:c r="F35" s="9" t="str">
        <x:v>Baseline</x:v>
      </x:c>
      <x:c r="G35" s="9" t="str">
        <x:v>Existing</x:v>
      </x:c>
      <x:c r="H35" s="9" t="str">
        <x:v>Pending</x:v>
      </x:c>
      <x:c r="I35" s="3" t="str">
        <x:f>IF(AND(OR(D35="Implemented",D35="Done"),H35="Pass"),"Checked","Open")</x:f>
        <x:v>Open</x:v>
      </x:c>
    </x:row>
    <x:row r="36" ht="48" customHeight="1">
      <x:c r="A36" s="3" t="str">
        <x:v>STAGE-01</x:v>
      </x:c>
      <x:c r="B36" s="3" t="str">
        <x:v>Stages</x:v>
      </x:c>
      <x:c r="C36" s="3" t="str">
        <x:v>Seven effect stages and five neutral stages</x:v>
      </x:c>
      <x:c r="D36" s="9" t="str">
        <x:v>Implemented</x:v>
      </x:c>
      <x:c r="E36" s="9" t="str">
        <x:v>Maintain</x:v>
      </x:c>
      <x:c r="F36" s="9" t="str">
        <x:v>Baseline</x:v>
      </x:c>
      <x:c r="G36" s="9" t="str">
        <x:v>Existing</x:v>
      </x:c>
      <x:c r="H36" s="9" t="str">
        <x:v>Pending</x:v>
      </x:c>
      <x:c r="I36" s="3" t="str">
        <x:f>IF(AND(OR(D36="Implemented",D36="Done"),H36="Pass"),"Checked","Open")</x:f>
        <x:v>Open</x:v>
      </x:c>
    </x:row>
    <x:row r="37" ht="48" customHeight="1">
      <x:c r="A37" s="3" t="str">
        <x:v>STAGE-02</x:v>
      </x:c>
      <x:c r="B37" s="3" t="str">
        <x:v>Stages</x:v>
      </x:c>
      <x:c r="C37" s="3" t="str">
        <x:v>Environment and alternate victory rules</x:v>
      </x:c>
      <x:c r="D37" s="9" t="str">
        <x:v>Implemented</x:v>
      </x:c>
      <x:c r="E37" s="9" t="str">
        <x:v>Maintain</x:v>
      </x:c>
      <x:c r="F37" s="9" t="str">
        <x:v>Baseline</x:v>
      </x:c>
      <x:c r="G37" s="9" t="str">
        <x:v>Existing</x:v>
      </x:c>
      <x:c r="H37" s="9" t="str">
        <x:v>Pending</x:v>
      </x:c>
      <x:c r="I37" s="3" t="str">
        <x:f>IF(AND(OR(D37="Implemented",D37="Done"),H37="Pass"),"Checked","Open")</x:f>
        <x:v>Open</x:v>
      </x:c>
    </x:row>
    <x:row r="38" ht="48" customHeight="1">
      <x:c r="A38" s="3" t="str">
        <x:v>EVENT-01</x:v>
      </x:c>
      <x:c r="B38" s="3" t="str">
        <x:v>Events</x:v>
      </x:c>
      <x:c r="C38" s="3" t="str">
        <x:v>Event pathways and saved choices</x:v>
      </x:c>
      <x:c r="D38" s="9" t="str">
        <x:v>Implemented</x:v>
      </x:c>
      <x:c r="E38" s="9" t="str">
        <x:v>Maintain</x:v>
      </x:c>
      <x:c r="F38" s="9" t="str">
        <x:v>Baseline</x:v>
      </x:c>
      <x:c r="G38" s="9" t="str">
        <x:v>Existing</x:v>
      </x:c>
      <x:c r="H38" s="9" t="str">
        <x:v>Pending</x:v>
      </x:c>
      <x:c r="I38" s="3" t="str">
        <x:f>IF(AND(OR(D38="Implemented",D38="Done"),H38="Pass"),"Checked","Open")</x:f>
        <x:v>Open</x:v>
      </x:c>
    </x:row>
    <x:row r="39" ht="48" customHeight="1">
      <x:c r="A39" s="3" t="str">
        <x:v>EVENT-02</x:v>
      </x:c>
      <x:c r="B39" s="3" t="str">
        <x:v>Events</x:v>
      </x:c>
      <x:c r="C39" s="3" t="str">
        <x:v>Soul Gem and Witch event</x:v>
      </x:c>
      <x:c r="D39" s="9" t="str">
        <x:v>Implemented</x:v>
      </x:c>
      <x:c r="E39" s="9" t="str">
        <x:v>Maintain</x:v>
      </x:c>
      <x:c r="F39" s="9" t="str">
        <x:v>Baseline</x:v>
      </x:c>
      <x:c r="G39" s="9" t="str">
        <x:v>Existing</x:v>
      </x:c>
      <x:c r="H39" s="9" t="str">
        <x:v>Pending</x:v>
      </x:c>
      <x:c r="I39" s="3" t="str">
        <x:f>IF(AND(OR(D39="Implemented",D39="Done"),H39="Pass"),"Checked","Open")</x:f>
        <x:v>Open</x:v>
      </x:c>
    </x:row>
    <x:row r="40" ht="48" customHeight="1">
      <x:c r="A40" s="3" t="str">
        <x:v>EVENT-03</x:v>
      </x:c>
      <x:c r="B40" s="3" t="str">
        <x:v>Events</x:v>
      </x:c>
      <x:c r="C40" s="3" t="str">
        <x:v>Marine Capture event</x:v>
      </x:c>
      <x:c r="D40" s="9" t="str">
        <x:v>Implemented</x:v>
      </x:c>
      <x:c r="E40" s="9" t="str">
        <x:v>Maintain</x:v>
      </x:c>
      <x:c r="F40" s="9" t="str">
        <x:v>Baseline</x:v>
      </x:c>
      <x:c r="G40" s="9" t="str">
        <x:v>Existing</x:v>
      </x:c>
      <x:c r="H40" s="9" t="str">
        <x:v>Pending</x:v>
      </x:c>
      <x:c r="I40" s="3" t="str">
        <x:f>IF(AND(OR(D40="Implemented",D40="Done"),H40="Pass"),"Checked","Open")</x:f>
        <x:v>Open</x:v>
      </x:c>
    </x:row>
    <x:row r="41" ht="48" customHeight="1">
      <x:c r="A41" s="3" t="str">
        <x:v>TECH-01</x:v>
      </x:c>
      <x:c r="B41" s="3" t="str">
        <x:v>Platform</x:v>
      </x:c>
      <x:c r="C41" s="3" t="str">
        <x:v>JSON content catalogs</x:v>
      </x:c>
      <x:c r="D41" s="9" t="str">
        <x:v>Implemented</x:v>
      </x:c>
      <x:c r="E41" s="9" t="str">
        <x:v>Maintain</x:v>
      </x:c>
      <x:c r="F41" s="9" t="str">
        <x:v>Baseline</x:v>
      </x:c>
      <x:c r="G41" s="9" t="str">
        <x:v>Existing</x:v>
      </x:c>
      <x:c r="H41" s="9" t="str">
        <x:v>Pending</x:v>
      </x:c>
      <x:c r="I41" s="3" t="str">
        <x:f>IF(AND(OR(D41="Implemented",D41="Done"),H41="Pass"),"Checked","Open")</x:f>
        <x:v>Open</x:v>
      </x:c>
    </x:row>
    <x:row r="42" ht="48" customHeight="1">
      <x:c r="A42" s="3" t="str">
        <x:v>TECH-02</x:v>
      </x:c>
      <x:c r="B42" s="3" t="str">
        <x:v>Platform</x:v>
      </x:c>
      <x:c r="C42" s="3" t="str">
        <x:v>Server saves and deployment setup</x:v>
      </x:c>
      <x:c r="D42" s="9" t="str">
        <x:v>Implemented</x:v>
      </x:c>
      <x:c r="E42" s="9" t="str">
        <x:v>Maintain</x:v>
      </x:c>
      <x:c r="F42" s="9" t="str">
        <x:v>Baseline</x:v>
      </x:c>
      <x:c r="G42" s="9" t="str">
        <x:v>Existing</x:v>
      </x:c>
      <x:c r="H42" s="9" t="str">
        <x:v>Pending</x:v>
      </x:c>
      <x:c r="I42" s="3" t="str">
        <x:f>IF(AND(OR(D42="Implemented",D42="Done"),H42="Pass"),"Checked","Open")</x:f>
        <x:v>Open</x:v>
      </x:c>
    </x:row>
    <x:row r="43" ht="48" customHeight="1">
      <x:c r="A43" s="3" t="str">
        <x:v>PLAN-01</x:v>
      </x:c>
      <x:c r="B43" s="3" t="str">
        <x:v>Abilities</x:v>
      </x:c>
      <x:c r="C43" s="3" t="str">
        <x:v>Implement remaining catalog abilities</x:v>
      </x:c>
      <x:c r="D43" s="9" t="str">
        <x:v>Planned</x:v>
      </x:c>
      <x:c r="E43" s="9" t="str">
        <x:v>P1</x:v>
      </x:c>
      <x:c r="F43" s="9" t="str">
        <x:v>Content</x:v>
      </x:c>
      <x:c r="G43" s="9" t="str">
        <x:v>User plan</x:v>
      </x:c>
      <x:c r="H43" s="9" t="str">
        <x:v>Pending</x:v>
      </x:c>
      <x:c r="I43" s="3" t="str">
        <x:f>IF(AND(OR(D43="Implemented",D43="Done"),H43="Pass"),"Checked","Open")</x:f>
        <x:v>Open</x:v>
      </x:c>
    </x:row>
    <x:row r="44" ht="48" customHeight="1">
      <x:c r="A44" s="3" t="str">
        <x:v>PLAN-02</x:v>
      </x:c>
      <x:c r="B44" s="3" t="str">
        <x:v>Items</x:v>
      </x:c>
      <x:c r="C44" s="3" t="str">
        <x:v>Expand item catalog</x:v>
      </x:c>
      <x:c r="D44" s="9" t="str">
        <x:v>Planned</x:v>
      </x:c>
      <x:c r="E44" s="9" t="str">
        <x:v>P2</x:v>
      </x:c>
      <x:c r="F44" s="9" t="str">
        <x:v>Content</x:v>
      </x:c>
      <x:c r="G44" s="9" t="str">
        <x:v>User plan</x:v>
      </x:c>
      <x:c r="H44" s="9" t="str">
        <x:v>Pending</x:v>
      </x:c>
      <x:c r="I44" s="3" t="str">
        <x:f>IF(AND(OR(D44="Implemented",D44="Done"),H44="Pass"),"Checked","Open")</x:f>
        <x:v>Open</x:v>
      </x:c>
    </x:row>
    <x:row r="45" ht="48" customHeight="1">
      <x:c r="A45" s="3" t="str">
        <x:v>PLAN-03</x:v>
      </x:c>
      <x:c r="B45" s="3" t="str">
        <x:v>Events</x:v>
      </x:c>
      <x:c r="C45" s="3" t="str">
        <x:v>Expand event catalog</x:v>
      </x:c>
      <x:c r="D45" s="9" t="str">
        <x:v>Planned</x:v>
      </x:c>
      <x:c r="E45" s="9" t="str">
        <x:v>P2</x:v>
      </x:c>
      <x:c r="F45" s="9" t="str">
        <x:v>Content</x:v>
      </x:c>
      <x:c r="G45" s="9" t="str">
        <x:v>User plan</x:v>
      </x:c>
      <x:c r="H45" s="9" t="str">
        <x:v>Pending</x:v>
      </x:c>
      <x:c r="I45" s="3" t="str">
        <x:f>IF(AND(OR(D45="Implemented",D45="Done"),H45="Pass"),"Checked","Open")</x:f>
        <x:v>Open</x:v>
      </x:c>
    </x:row>
    <x:row r="46" ht="48" customHeight="1">
      <x:c r="A46" s="3" t="str">
        <x:v>PLAN-04</x:v>
      </x:c>
      <x:c r="B46" s="3" t="str">
        <x:v>Stages</x:v>
      </x:c>
      <x:c r="C46" s="3" t="str">
        <x:v>Expand stage catalog</x:v>
      </x:c>
      <x:c r="D46" s="9" t="str">
        <x:v>Planned</x:v>
      </x:c>
      <x:c r="E46" s="9" t="str">
        <x:v>P2</x:v>
      </x:c>
      <x:c r="F46" s="9" t="str">
        <x:v>Content</x:v>
      </x:c>
      <x:c r="G46" s="9" t="str">
        <x:v>User plan</x:v>
      </x:c>
      <x:c r="H46" s="9" t="str">
        <x:v>Pending</x:v>
      </x:c>
      <x:c r="I46" s="3" t="str">
        <x:f>IF(AND(OR(D46="Implemented",D46="Done"),H46="Pass"),"Checked","Open")</x:f>
        <x:v>Open</x:v>
      </x:c>
    </x:row>
    <x:row r="47" ht="48" customHeight="1">
      <x:c r="A47" s="3" t="str">
        <x:v>PLAN-05</x:v>
      </x:c>
      <x:c r="B47" s="3" t="str">
        <x:v>Balance</x:v>
      </x:c>
      <x:c r="C47" s="3" t="str">
        <x:v>Character ability balancing</x:v>
      </x:c>
      <x:c r="D47" s="9" t="str">
        <x:v>Planned</x:v>
      </x:c>
      <x:c r="E47" s="9" t="str">
        <x:v>P1</x:v>
      </x:c>
      <x:c r="F47" s="9" t="str">
        <x:v>Foundations</x:v>
      </x:c>
      <x:c r="G47" s="9" t="str">
        <x:v>User plan</x:v>
      </x:c>
      <x:c r="H47" s="9" t="str">
        <x:v>Pending</x:v>
      </x:c>
      <x:c r="I47" s="3" t="str">
        <x:f>IF(AND(OR(D47="Implemented",D47="Done"),H47="Pass"),"Checked","Open")</x:f>
        <x:v>Open</x:v>
      </x:c>
    </x:row>
    <x:row r="48" ht="48" customHeight="1">
      <x:c r="A48" s="3" t="str">
        <x:v>PLAN-06</x:v>
      </x:c>
      <x:c r="B48" s="3" t="str">
        <x:v>Balance</x:v>
      </x:c>
      <x:c r="C48" s="3" t="str">
        <x:v>Item and stat modifier balancing</x:v>
      </x:c>
      <x:c r="D48" s="9" t="str">
        <x:v>Planned</x:v>
      </x:c>
      <x:c r="E48" s="9" t="str">
        <x:v>P1</x:v>
      </x:c>
      <x:c r="F48" s="9" t="str">
        <x:v>Foundations</x:v>
      </x:c>
      <x:c r="G48" s="9" t="str">
        <x:v>User plan</x:v>
      </x:c>
      <x:c r="H48" s="9" t="str">
        <x:v>Pending</x:v>
      </x:c>
      <x:c r="I48" s="3" t="str">
        <x:f>IF(AND(OR(D48="Implemented",D48="Done"),H48="Pass"),"Checked","Open")</x:f>
        <x:v>Open</x:v>
      </x:c>
    </x:row>
    <x:row r="49" ht="48" customHeight="1">
      <x:c r="A49" s="3" t="str">
        <x:v>PLAN-07</x:v>
      </x:c>
      <x:c r="B49" s="3" t="str">
        <x:v>Balance</x:v>
      </x:c>
      <x:c r="C49" s="3" t="str">
        <x:v>Event risk and reward balancing</x:v>
      </x:c>
      <x:c r="D49" s="9" t="str">
        <x:v>Planned</x:v>
      </x:c>
      <x:c r="E49" s="9" t="str">
        <x:v>P1</x:v>
      </x:c>
      <x:c r="F49" s="9" t="str">
        <x:v>Progression</x:v>
      </x:c>
      <x:c r="G49" s="9" t="str">
        <x:v>User plan</x:v>
      </x:c>
      <x:c r="H49" s="9" t="str">
        <x:v>Pending</x:v>
      </x:c>
      <x:c r="I49" s="3" t="str">
        <x:f>IF(AND(OR(D49="Implemented",D49="Done"),H49="Pass"),"Checked","Open")</x:f>
        <x:v>Open</x:v>
      </x:c>
    </x:row>
    <x:row r="50" ht="48" customHeight="1">
      <x:c r="A50" s="3" t="str">
        <x:v>PLAN-08</x:v>
      </x:c>
      <x:c r="B50" s="3" t="str">
        <x:v>Balance</x:v>
      </x:c>
      <x:c r="C50" s="3" t="str">
        <x:v>Stage balancing</x:v>
      </x:c>
      <x:c r="D50" s="9" t="str">
        <x:v>Planned</x:v>
      </x:c>
      <x:c r="E50" s="9" t="str">
        <x:v>P1</x:v>
      </x:c>
      <x:c r="F50" s="9" t="str">
        <x:v>Foundations</x:v>
      </x:c>
      <x:c r="G50" s="9" t="str">
        <x:v>User plan</x:v>
      </x:c>
      <x:c r="H50" s="9" t="str">
        <x:v>Pending</x:v>
      </x:c>
      <x:c r="I50" s="3" t="str">
        <x:f>IF(AND(OR(D50="Implemented",D50="Done"),H50="Pass"),"Checked","Open")</x:f>
        <x:v>Open</x:v>
      </x:c>
    </x:row>
    <x:row r="51" ht="48" customHeight="1">
      <x:c r="A51" s="3" t="str">
        <x:v>PLAN-09</x:v>
      </x:c>
      <x:c r="B51" s="3" t="str">
        <x:v>Events</x:v>
      </x:c>
      <x:c r="C51" s="3" t="str">
        <x:v>Multiple labeled choices</x:v>
      </x:c>
      <x:c r="D51" s="9" t="str">
        <x:v>Planned</x:v>
      </x:c>
      <x:c r="E51" s="9" t="str">
        <x:v>P1</x:v>
      </x:c>
      <x:c r="F51" s="9" t="str">
        <x:v>Progression</x:v>
      </x:c>
      <x:c r="G51" s="9" t="str">
        <x:v>User plan</x:v>
      </x:c>
      <x:c r="H51" s="9" t="str">
        <x:v>Pending</x:v>
      </x:c>
      <x:c r="I51" s="3" t="str">
        <x:f>IF(AND(OR(D51="Implemented",D51="Done"),H51="Pass"),"Checked","Open")</x:f>
        <x:v>Open</x:v>
      </x:c>
    </x:row>
    <x:row r="52" ht="48" customHeight="1">
      <x:c r="A52" s="3" t="str">
        <x:v>PLAN-10</x:v>
      </x:c>
      <x:c r="B52" s="3" t="str">
        <x:v>Events</x:v>
      </x:c>
      <x:c r="C52" s="3" t="str">
        <x:v>Extensible event flow</x:v>
      </x:c>
      <x:c r="D52" s="9" t="str">
        <x:v>Planned</x:v>
      </x:c>
      <x:c r="E52" s="9" t="str">
        <x:v>P1</x:v>
      </x:c>
      <x:c r="F52" s="9" t="str">
        <x:v>Foundations</x:v>
      </x:c>
      <x:c r="G52" s="9" t="str">
        <x:v>User plan</x:v>
      </x:c>
      <x:c r="H52" s="9" t="str">
        <x:v>Pending</x:v>
      </x:c>
      <x:c r="I52" s="3" t="str">
        <x:f>IF(AND(OR(D52="Implemented",D52="Done"),H52="Pass"),"Checked","Open")</x:f>
        <x:v>Open</x:v>
      </x:c>
    </x:row>
    <x:row r="53" ht="48" customHeight="1">
      <x:c r="A53" s="3" t="str">
        <x:v>PLAN-11</x:v>
      </x:c>
      <x:c r="B53" s="3" t="str">
        <x:v>Events</x:v>
      </x:c>
      <x:c r="C53" s="3" t="str">
        <x:v>Text-entry events</x:v>
      </x:c>
      <x:c r="D53" s="9" t="str">
        <x:v>Planned</x:v>
      </x:c>
      <x:c r="E53" s="9" t="str">
        <x:v>P2</x:v>
      </x:c>
      <x:c r="F53" s="9" t="str">
        <x:v>Content</x:v>
      </x:c>
      <x:c r="G53" s="9" t="str">
        <x:v>User plan</x:v>
      </x:c>
      <x:c r="H53" s="9" t="str">
        <x:v>Pending</x:v>
      </x:c>
      <x:c r="I53" s="3" t="str">
        <x:f>IF(AND(OR(D53="Implemented",D53="Done"),H53="Pass"),"Checked","Open")</x:f>
        <x:v>Open</x:v>
      </x:c>
    </x:row>
    <x:row r="54" ht="48" customHeight="1">
      <x:c r="A54" s="3" t="str">
        <x:v>PLAN-12</x:v>
      </x:c>
      <x:c r="B54" s="3" t="str">
        <x:v>Events</x:v>
      </x:c>
      <x:c r="C54" s="3" t="str">
        <x:v>Number selection and quantity inputs</x:v>
      </x:c>
      <x:c r="D54" s="9" t="str">
        <x:v>Planned</x:v>
      </x:c>
      <x:c r="E54" s="9" t="str">
        <x:v>P2</x:v>
      </x:c>
      <x:c r="F54" s="9" t="str">
        <x:v>Content</x:v>
      </x:c>
      <x:c r="G54" s="9" t="str">
        <x:v>User plan</x:v>
      </x:c>
      <x:c r="H54" s="9" t="str">
        <x:v>Pending</x:v>
      </x:c>
      <x:c r="I54" s="3" t="str">
        <x:f>IF(AND(OR(D54="Implemented",D54="Done"),H54="Pass"),"Checked","Open")</x:f>
        <x:v>Open</x:v>
      </x:c>
    </x:row>
    <x:row r="55" ht="48" customHeight="1">
      <x:c r="A55" s="3" t="str">
        <x:v>PLAN-13</x:v>
      </x:c>
      <x:c r="B55" s="3" t="str">
        <x:v>Events</x:v>
      </x:c>
      <x:c r="C55" s="3" t="str">
        <x:v>Quiz and puzzle events</x:v>
      </x:c>
      <x:c r="D55" s="9" t="str">
        <x:v>Planned</x:v>
      </x:c>
      <x:c r="E55" s="9" t="str">
        <x:v>P2</x:v>
      </x:c>
      <x:c r="F55" s="9" t="str">
        <x:v>Content</x:v>
      </x:c>
      <x:c r="G55" s="9" t="str">
        <x:v>User plan</x:v>
      </x:c>
      <x:c r="H55" s="9" t="str">
        <x:v>Pending</x:v>
      </x:c>
      <x:c r="I55" s="3" t="str">
        <x:f>IF(AND(OR(D55="Implemented",D55="Done"),H55="Pass"),"Checked","Open")</x:f>
        <x:v>Open</x:v>
      </x:c>
    </x:row>
    <x:row r="56" ht="48" customHeight="1">
      <x:c r="A56" s="3" t="str">
        <x:v>PLAN-14</x:v>
      </x:c>
      <x:c r="B56" s="3" t="str">
        <x:v>Events</x:v>
      </x:c>
      <x:c r="C56" s="3" t="str">
        <x:v>Gambling events</x:v>
      </x:c>
      <x:c r="D56" s="9" t="str">
        <x:v>Planned</x:v>
      </x:c>
      <x:c r="E56" s="9" t="str">
        <x:v>P2</x:v>
      </x:c>
      <x:c r="F56" s="9" t="str">
        <x:v>Content</x:v>
      </x:c>
      <x:c r="G56" s="9" t="str">
        <x:v>User plan</x:v>
      </x:c>
      <x:c r="H56" s="9" t="str">
        <x:v>Pending</x:v>
      </x:c>
      <x:c r="I56" s="3" t="str">
        <x:f>IF(AND(OR(D56="Implemented",D56="Done"),H56="Pass"),"Checked","Open")</x:f>
        <x:v>Open</x:v>
      </x:c>
    </x:row>
    <x:row r="57" ht="48" customHeight="1">
      <x:c r="A57" s="3" t="str">
        <x:v>PLAN-15</x:v>
      </x:c>
      <x:c r="B57" s="3" t="str">
        <x:v>Achievements</x:v>
      </x:c>
      <x:c r="C57" s="3" t="str">
        <x:v>Achievement tracking</x:v>
      </x:c>
      <x:c r="D57" s="9" t="str">
        <x:v>Planned</x:v>
      </x:c>
      <x:c r="E57" s="9" t="str">
        <x:v>P2</x:v>
      </x:c>
      <x:c r="F57" s="9" t="str">
        <x:v>Later</x:v>
      </x:c>
      <x:c r="G57" s="9" t="str">
        <x:v>User plan</x:v>
      </x:c>
      <x:c r="H57" s="9" t="str">
        <x:v>Pending</x:v>
      </x:c>
      <x:c r="I57" s="3" t="str">
        <x:f>IF(AND(OR(D57="Implemented",D57="Done"),H57="Pass"),"Checked","Open")</x:f>
        <x:v>Open</x:v>
      </x:c>
    </x:row>
    <x:row r="58" ht="48" customHeight="1">
      <x:c r="A58" s="3" t="str">
        <x:v>PLAN-16</x:v>
      </x:c>
      <x:c r="B58" s="3" t="str">
        <x:v>Bosses</x:v>
      </x:c>
      <x:c r="C58" s="3" t="str">
        <x:v>Grand Fisher: Lure</x:v>
      </x:c>
      <x:c r="D58" s="9" t="str">
        <x:v>Planned</x:v>
      </x:c>
      <x:c r="E58" s="9" t="str">
        <x:v>P1</x:v>
      </x:c>
      <x:c r="F58" s="9" t="str">
        <x:v>Progression</x:v>
      </x:c>
      <x:c r="G58" s="9" t="str">
        <x:v>User plan</x:v>
      </x:c>
      <x:c r="H58" s="9" t="str">
        <x:v>Pending</x:v>
      </x:c>
      <x:c r="I58" s="3" t="str">
        <x:f>IF(AND(OR(D58="Implemented",D58="Done"),H58="Pass"),"Checked","Open")</x:f>
        <x:v>Open</x:v>
      </x:c>
    </x:row>
    <x:row r="59" ht="48" customHeight="1">
      <x:c r="A59" s="3" t="str">
        <x:v>PLAN-17</x:v>
      </x:c>
      <x:c r="B59" s="3" t="str">
        <x:v>Bosses</x:v>
      </x:c>
      <x:c r="C59" s="3" t="str">
        <x:v>Kurama: Tailed Beast Bomb</x:v>
      </x:c>
      <x:c r="D59" s="9" t="str">
        <x:v>Planned</x:v>
      </x:c>
      <x:c r="E59" s="9" t="str">
        <x:v>P1</x:v>
      </x:c>
      <x:c r="F59" s="9" t="str">
        <x:v>Progression</x:v>
      </x:c>
      <x:c r="G59" s="9" t="str">
        <x:v>User plan</x:v>
      </x:c>
      <x:c r="H59" s="9" t="str">
        <x:v>Pending</x:v>
      </x:c>
      <x:c r="I59" s="3" t="str">
        <x:f>IF(AND(OR(D59="Implemented",D59="Done"),H59="Pass"),"Checked","Open")</x:f>
        <x:v>Open</x:v>
      </x:c>
    </x:row>
    <x:row r="60" ht="48" customHeight="1">
      <x:c r="A60" s="3" t="str">
        <x:v>PLAN-18</x:v>
      </x:c>
      <x:c r="B60" s="3" t="str">
        <x:v>Bosses</x:v>
      </x:c>
      <x:c r="C60" s="3" t="str">
        <x:v>Gun Devil: Gun Fiend</x:v>
      </x:c>
      <x:c r="D60" s="9" t="str">
        <x:v>Planned</x:v>
      </x:c>
      <x:c r="E60" s="9" t="str">
        <x:v>P2</x:v>
      </x:c>
      <x:c r="F60" s="9" t="str">
        <x:v>Content</x:v>
      </x:c>
      <x:c r="G60" s="9" t="str">
        <x:v>User plan</x:v>
      </x:c>
      <x:c r="H60" s="9" t="str">
        <x:v>Pending</x:v>
      </x:c>
      <x:c r="I60" s="3" t="str">
        <x:f>IF(AND(OR(D60="Implemented",D60="Done"),H60="Pass"),"Checked","Open")</x:f>
        <x:v>Open</x:v>
      </x:c>
    </x:row>
    <x:row r="61" ht="48" customHeight="1">
      <x:c r="A61" s="3" t="str">
        <x:v>PLAN-19</x:v>
      </x:c>
      <x:c r="B61" s="3" t="str">
        <x:v>Bosses</x:v>
      </x:c>
      <x:c r="C61" s="3" t="str">
        <x:v>Mahoraga: Adaptation</x:v>
      </x:c>
      <x:c r="D61" s="9" t="str">
        <x:v>Planned</x:v>
      </x:c>
      <x:c r="E61" s="9" t="str">
        <x:v>P2</x:v>
      </x:c>
      <x:c r="F61" s="9" t="str">
        <x:v>Content</x:v>
      </x:c>
      <x:c r="G61" s="9" t="str">
        <x:v>User plan</x:v>
      </x:c>
      <x:c r="H61" s="9" t="str">
        <x:v>Pending</x:v>
      </x:c>
      <x:c r="I61" s="3" t="str">
        <x:f>IF(AND(OR(D61="Implemented",D61="Done"),H61="Pass"),"Checked","Open")</x:f>
        <x:v>Open</x:v>
      </x:c>
    </x:row>
    <x:row r="62" ht="48" customHeight="1">
      <x:c r="A62" s="3" t="str">
        <x:v>PLAN-20</x:v>
      </x:c>
      <x:c r="B62" s="3" t="str">
        <x:v>Bosses</x:v>
      </x:c>
      <x:c r="C62" s="3" t="str">
        <x:v>Deoxys: Form Change</x:v>
      </x:c>
      <x:c r="D62" s="9" t="str">
        <x:v>Planned</x:v>
      </x:c>
      <x:c r="E62" s="9" t="str">
        <x:v>P2</x:v>
      </x:c>
      <x:c r="F62" s="9" t="str">
        <x:v>Content</x:v>
      </x:c>
      <x:c r="G62" s="9" t="str">
        <x:v>User plan</x:v>
      </x:c>
      <x:c r="H62" s="9" t="str">
        <x:v>Pending</x:v>
      </x:c>
      <x:c r="I62" s="3" t="str">
        <x:f>IF(AND(OR(D62="Implemented",D62="Done"),H62="Pass"),"Checked","Open")</x:f>
        <x:v>Open</x:v>
      </x:c>
    </x:row>
    <x:row r="63" ht="48" customHeight="1">
      <x:c r="A63" s="3" t="str">
        <x:v>PLAN-21</x:v>
      </x:c>
      <x:c r="B63" s="3" t="str">
        <x:v>Bosses</x:v>
      </x:c>
      <x:c r="C63" s="3" t="str">
        <x:v>Boss floor scaling and stat balancing</x:v>
      </x:c>
      <x:c r="D63" s="9" t="str">
        <x:v>Planned</x:v>
      </x:c>
      <x:c r="E63" s="9" t="str">
        <x:v>P1</x:v>
      </x:c>
      <x:c r="F63" s="9" t="str">
        <x:v>Progression</x:v>
      </x:c>
      <x:c r="G63" s="9" t="str">
        <x:v>User plan</x:v>
      </x:c>
      <x:c r="H63" s="9" t="str">
        <x:v>Pending</x:v>
      </x:c>
      <x:c r="I63" s="3" t="str">
        <x:f>IF(AND(OR(D63="Implemented",D63="Done"),H63="Pass"),"Checked","Open")</x:f>
        <x:v>Open</x:v>
      </x:c>
    </x:row>
    <x:row r="64" ht="48" customHeight="1">
      <x:c r="A64" s="3" t="str">
        <x:v>PLAN-22</x:v>
      </x:c>
      <x:c r="B64" s="3" t="str">
        <x:v>Bosses</x:v>
      </x:c>
      <x:c r="C64" s="3" t="str">
        <x:v>Boss appearance pools by floor</x:v>
      </x:c>
      <x:c r="D64" s="9" t="str">
        <x:v>Planned</x:v>
      </x:c>
      <x:c r="E64" s="9" t="str">
        <x:v>P1</x:v>
      </x:c>
      <x:c r="F64" s="9" t="str">
        <x:v>Progression</x:v>
      </x:c>
      <x:c r="G64" s="9" t="str">
        <x:v>User plan</x:v>
      </x:c>
      <x:c r="H64" s="9" t="str">
        <x:v>Pending</x:v>
      </x:c>
      <x:c r="I64" s="3" t="str">
        <x:f>IF(AND(OR(D64="Implemented",D64="Done"),H64="Pass"),"Checked","Open")</x:f>
        <x:v>Open</x:v>
      </x:c>
    </x:row>
    <x:row r="65" ht="48" customHeight="1">
      <x:c r="A65" s="3" t="str">
        <x:v>PLAN-23</x:v>
      </x:c>
      <x:c r="B65" s="3" t="str">
        <x:v>Progression</x:v>
      </x:c>
      <x:c r="C65" s="3" t="str">
        <x:v>Difficulty bands and encounter policy</x:v>
      </x:c>
      <x:c r="D65" s="9" t="str">
        <x:v>Planned</x:v>
      </x:c>
      <x:c r="E65" s="9" t="str">
        <x:v>P1</x:v>
      </x:c>
      <x:c r="F65" s="9" t="str">
        <x:v>Foundations</x:v>
      </x:c>
      <x:c r="G65" s="9" t="str">
        <x:v>User plan</x:v>
      </x:c>
      <x:c r="H65" s="9" t="str">
        <x:v>Pending</x:v>
      </x:c>
      <x:c r="I65" s="3" t="str">
        <x:f>IF(AND(OR(D65="Implemented",D65="Done"),H65="Pass"),"Checked","Open")</x:f>
        <x:v>Open</x:v>
      </x:c>
    </x:row>
    <x:row r="66" ht="48" customHeight="1">
      <x:c r="A66" s="3" t="str">
        <x:v>PLAN-24</x:v>
      </x:c>
      <x:c r="B66" s="3" t="str">
        <x:v>Progression</x:v>
      </x:c>
      <x:c r="C66" s="3" t="str">
        <x:v>Larger opponent teams on later floors</x:v>
      </x:c>
      <x:c r="D66" s="9" t="str">
        <x:v>Planned</x:v>
      </x:c>
      <x:c r="E66" s="9" t="str">
        <x:v>P1</x:v>
      </x:c>
      <x:c r="F66" s="9" t="str">
        <x:v>Progression</x:v>
      </x:c>
      <x:c r="G66" s="9" t="str">
        <x:v>User plan</x:v>
      </x:c>
      <x:c r="H66" s="9" t="str">
        <x:v>Pending</x:v>
      </x:c>
      <x:c r="I66" s="3" t="str">
        <x:f>IF(AND(OR(D66="Implemented",D66="Done"),H66="Pass"),"Checked","Open")</x:f>
        <x:v>Open</x:v>
      </x:c>
    </x:row>
    <x:row r="67" ht="48" customHeight="1">
      <x:c r="A67" s="3" t="str">
        <x:v>PLAN-25</x:v>
      </x:c>
      <x:c r="B67" s="3" t="str">
        <x:v>Progression</x:v>
      </x:c>
      <x:c r="C67" s="3" t="str">
        <x:v>Guaranteed enemy passives</x:v>
      </x:c>
      <x:c r="D67" s="9" t="str">
        <x:v>Planned</x:v>
      </x:c>
      <x:c r="E67" s="9" t="str">
        <x:v>P1</x:v>
      </x:c>
      <x:c r="F67" s="9" t="str">
        <x:v>Progression</x:v>
      </x:c>
      <x:c r="G67" s="9" t="str">
        <x:v>User plan</x:v>
      </x:c>
      <x:c r="H67" s="9" t="str">
        <x:v>Pending</x:v>
      </x:c>
      <x:c r="I67" s="3" t="str">
        <x:f>IF(AND(OR(D67="Implemented",D67="Done"),H67="Pass"),"Checked","Open")</x:f>
        <x:v>Open</x:v>
      </x:c>
    </x:row>
    <x:row r="68" ht="48" customHeight="1">
      <x:c r="A68" s="3" t="str">
        <x:v>PLAN-26</x:v>
      </x:c>
      <x:c r="B68" s="3" t="str">
        <x:v>Progression</x:v>
      </x:c>
      <x:c r="C68" s="3" t="str">
        <x:v>Guaranteed enemy equipment</x:v>
      </x:c>
      <x:c r="D68" s="9" t="str">
        <x:v>Planned</x:v>
      </x:c>
      <x:c r="E68" s="9" t="str">
        <x:v>P1</x:v>
      </x:c>
      <x:c r="F68" s="9" t="str">
        <x:v>Progression</x:v>
      </x:c>
      <x:c r="G68" s="9" t="str">
        <x:v>User plan</x:v>
      </x:c>
      <x:c r="H68" s="9" t="str">
        <x:v>Pending</x:v>
      </x:c>
      <x:c r="I68" s="3" t="str">
        <x:f>IF(AND(OR(D68="Implemented",D68="Done"),H68="Pass"),"Checked","Open")</x:f>
        <x:v>Open</x:v>
      </x:c>
    </x:row>
    <x:row r="69" ht="48" customHeight="1">
      <x:c r="A69" s="3" t="str">
        <x:v>PLAN-27</x:v>
      </x:c>
      <x:c r="B69" s="3" t="str">
        <x:v>Progression</x:v>
      </x:c>
      <x:c r="C69" s="3" t="str">
        <x:v>Unit appearance pools by floor</x:v>
      </x:c>
      <x:c r="D69" s="9" t="str">
        <x:v>Planned</x:v>
      </x:c>
      <x:c r="E69" s="9" t="str">
        <x:v>P1</x:v>
      </x:c>
      <x:c r="F69" s="9" t="str">
        <x:v>Progression</x:v>
      </x:c>
      <x:c r="G69" s="9" t="str">
        <x:v>User plan</x:v>
      </x:c>
      <x:c r="H69" s="9" t="str">
        <x:v>Pending</x:v>
      </x:c>
      <x:c r="I69" s="3" t="str">
        <x:f>IF(AND(OR(D69="Implemented",D69="Done"),H69="Pass"),"Checked","Open")</x:f>
        <x:v>Open</x:v>
      </x:c>
    </x:row>
    <x:row r="70" ht="48" customHeight="1">
      <x:c r="A70" s="3" t="str">
        <x:v>PLAN-28</x:v>
      </x:c>
      <x:c r="B70" s="3" t="str">
        <x:v>Progression</x:v>
      </x:c>
      <x:c r="C70" s="3" t="str">
        <x:v>Challenging progression playtests</x:v>
      </x:c>
      <x:c r="D70" s="9" t="str">
        <x:v>Planned</x:v>
      </x:c>
      <x:c r="E70" s="9" t="str">
        <x:v>P1</x:v>
      </x:c>
      <x:c r="F70" s="9" t="str">
        <x:v>Progression</x:v>
      </x:c>
      <x:c r="G70" s="9" t="str">
        <x:v>User plan</x:v>
      </x:c>
      <x:c r="H70" s="9" t="str">
        <x:v>Pending</x:v>
      </x:c>
      <x:c r="I70" s="3" t="str">
        <x:f>IF(AND(OR(D70="Implemented",D70="Done"),H70="Pass"),"Checked","Open")</x:f>
        <x:v>Open</x:v>
      </x:c>
    </x:row>
    <x:row r="71" ht="48" customHeight="1">
      <x:c r="A71" s="3" t="str">
        <x:v>SUG-01</x:v>
      </x:c>
      <x:c r="B71" s="3" t="str">
        <x:v>Battle</x:v>
      </x:c>
      <x:c r="C71" s="3" t="str">
        <x:v>Resolve multi-passive scheduling</x:v>
      </x:c>
      <x:c r="D71" s="9" t="str">
        <x:v>Proposed</x:v>
      </x:c>
      <x:c r="E71" s="9" t="str">
        <x:v>P1</x:v>
      </x:c>
      <x:c r="F71" s="9" t="str">
        <x:v>Foundations</x:v>
      </x:c>
      <x:c r="G71" s="9" t="str">
        <x:v>Suggestion</x:v>
      </x:c>
      <x:c r="H71" s="9" t="str">
        <x:v>Pending</x:v>
      </x:c>
      <x:c r="I71" s="3" t="str">
        <x:f>IF(AND(OR(D71="Implemented",D71="Done"),H71="Pass"),"Checked","Open")</x:f>
        <x:v>Open</x:v>
      </x:c>
    </x:row>
    <x:row r="72" ht="48" customHeight="1">
      <x:c r="A72" s="3" t="str">
        <x:v>SUG-02</x:v>
      </x:c>
      <x:c r="B72" s="3" t="str">
        <x:v>Balance</x:v>
      </x:c>
      <x:c r="C72" s="3" t="str">
        <x:v>Seeded simulation and balancing harness</x:v>
      </x:c>
      <x:c r="D72" s="9" t="str">
        <x:v>Proposed</x:v>
      </x:c>
      <x:c r="E72" s="9" t="str">
        <x:v>P1</x:v>
      </x:c>
      <x:c r="F72" s="9" t="str">
        <x:v>Foundations</x:v>
      </x:c>
      <x:c r="G72" s="9" t="str">
        <x:v>Suggestion</x:v>
      </x:c>
      <x:c r="H72" s="9" t="str">
        <x:v>Pending</x:v>
      </x:c>
      <x:c r="I72" s="3" t="str">
        <x:f>IF(AND(OR(D72="Implemented",D72="Done"),H72="Pass"),"Checked","Open")</x:f>
        <x:v>Open</x:v>
      </x:c>
    </x:row>
    <x:row r="73" ht="48" customHeight="1">
      <x:c r="A73" s="3" t="str">
        <x:v>SUG-03</x:v>
      </x:c>
      <x:c r="B73" s="3" t="str">
        <x:v>Platform</x:v>
      </x:c>
      <x:c r="C73" s="3" t="str">
        <x:v>Account identity and cross-device saves</x:v>
      </x:c>
      <x:c r="D73" s="9" t="str">
        <x:v>Proposed</x:v>
      </x:c>
      <x:c r="E73" s="9" t="str">
        <x:v>P2</x:v>
      </x:c>
      <x:c r="F73" s="9" t="str">
        <x:v>Later</x:v>
      </x:c>
      <x:c r="G73" s="9" t="str">
        <x:v>Suggestion</x:v>
      </x:c>
      <x:c r="H73" s="9" t="str">
        <x:v>Pending</x:v>
      </x:c>
      <x:c r="I73" s="3" t="str">
        <x:f>IF(AND(OR(D73="Implemented",D73="Done"),H73="Pass"),"Checked","Open")</x:f>
        <x:v>Open</x:v>
      </x:c>
    </x:row>
    <x:row r="74" ht="48" customHeight="1">
      <x:c r="A74" s="3" t="str">
        <x:v>SUG-04</x:v>
      </x:c>
      <x:c r="B74" s="3" t="str">
        <x:v>Platform</x:v>
      </x:c>
      <x:c r="C74" s="3" t="str">
        <x:v>Save schema versions and migrations</x:v>
      </x:c>
      <x:c r="D74" s="9" t="str">
        <x:v>Proposed</x:v>
      </x:c>
      <x:c r="E74" s="9" t="str">
        <x:v>P1</x:v>
      </x:c>
      <x:c r="F74" s="9" t="str">
        <x:v>Foundations</x:v>
      </x:c>
      <x:c r="G74" s="9" t="str">
        <x:v>Suggestion</x:v>
      </x:c>
      <x:c r="H74" s="9" t="str">
        <x:v>Pending</x:v>
      </x:c>
      <x:c r="I74" s="3" t="str">
        <x:f>IF(AND(OR(D74="Implemented",D74="Done"),H74="Pass"),"Checked","Open")</x:f>
        <x:v>Open</x:v>
      </x:c>
    </x:row>
    <x:row r="75" ht="48" customHeight="1">
      <x:c r="A75" s="3" t="str">
        <x:v>SUG-05</x:v>
      </x:c>
      <x:c r="B75" s="3" t="str">
        <x:v>Platform</x:v>
      </x:c>
      <x:c r="C75" s="3" t="str">
        <x:v>Durable storage, backups and recovery</x:v>
      </x:c>
      <x:c r="D75" s="9" t="str">
        <x:v>Proposed</x:v>
      </x:c>
      <x:c r="E75" s="9" t="str">
        <x:v>P1</x:v>
      </x:c>
      <x:c r="F75" s="9" t="str">
        <x:v>Foundations</x:v>
      </x:c>
      <x:c r="G75" s="9" t="str">
        <x:v>Suggestion</x:v>
      </x:c>
      <x:c r="H75" s="9" t="str">
        <x:v>Pending</x:v>
      </x:c>
      <x:c r="I75" s="3" t="str">
        <x:f>IF(AND(OR(D75="Implemented",D75="Done"),H75="Pass"),"Checked","Open")</x:f>
        <x:v>Open</x:v>
      </x:c>
    </x:row>
    <x:row r="76" ht="48" customHeight="1">
      <x:c r="A76" s="3" t="str">
        <x:v>SUG-06</x:v>
      </x:c>
      <x:c r="B76" s="3" t="str">
        <x:v>Content</x:v>
      </x:c>
      <x:c r="C76" s="3" t="str">
        <x:v>Catalog validation and effect labeling</x:v>
      </x:c>
      <x:c r="D76" s="9" t="str">
        <x:v>Proposed</x:v>
      </x:c>
      <x:c r="E76" s="9" t="str">
        <x:v>P1</x:v>
      </x:c>
      <x:c r="F76" s="9" t="str">
        <x:v>Foundations</x:v>
      </x:c>
      <x:c r="G76" s="9" t="str">
        <x:v>Suggestion</x:v>
      </x:c>
      <x:c r="H76" s="9" t="str">
        <x:v>Pending</x:v>
      </x:c>
      <x:c r="I76" s="3" t="str">
        <x:f>IF(AND(OR(D76="Implemented",D76="Done"),H76="Pass"),"Checked","Open")</x:f>
        <x:v>Open</x:v>
      </x:c>
    </x:row>
    <x:row r="77" ht="48" customHeight="1">
      <x:c r="A77" s="3" t="str">
        <x:v>SUG-07</x:v>
      </x:c>
      <x:c r="B77" s="3" t="str">
        <x:v>UX</x:v>
      </x:c>
      <x:c r="C77" s="3" t="str">
        <x:v>Combat inspection and readable effects</x:v>
      </x:c>
      <x:c r="D77" s="9" t="str">
        <x:v>Proposed</x:v>
      </x:c>
      <x:c r="E77" s="9" t="str">
        <x:v>P2</x:v>
      </x:c>
      <x:c r="F77" s="9" t="str">
        <x:v>Content</x:v>
      </x:c>
      <x:c r="G77" s="9" t="str">
        <x:v>Suggestion</x:v>
      </x:c>
      <x:c r="H77" s="9" t="str">
        <x:v>Pending</x:v>
      </x:c>
      <x:c r="I77" s="3" t="str">
        <x:f>IF(AND(OR(D77="Implemented",D77="Done"),H77="Pass"),"Checked","Open")</x:f>
        <x:v>Open</x:v>
      </x:c>
    </x:row>
    <x:row r="78" ht="48" customHeight="1">
      <x:c r="A78" s="3" t="str">
        <x:v>SUG-08</x:v>
      </x:c>
      <x:c r="B78" s="3" t="str">
        <x:v>QA</x:v>
      </x:c>
      <x:c r="C78" s="3" t="str">
        <x:v>Mobile, keyboard and replay recovery checks</x:v>
      </x:c>
      <x:c r="D78" s="9" t="str">
        <x:v>Proposed</x:v>
      </x:c>
      <x:c r="E78" s="9" t="str">
        <x:v>P1</x:v>
      </x:c>
      <x:c r="F78" s="9" t="str">
        <x:v>Foundations</x:v>
      </x:c>
      <x:c r="G78" s="9" t="str">
        <x:v>Suggestion</x:v>
      </x:c>
      <x:c r="H78" s="9" t="str">
        <x:v>Pending</x:v>
      </x:c>
      <x:c r="I78" s="3" t="str">
        <x:f>IF(AND(OR(D78="Implemented",D78="Done"),H78="Pass"),"Checked","Open")</x:f>
        <x:v>Open</x:v>
      </x:c>
    </x:row>
    <x:row r="79" ht="48" customHeight="1">
      <x:c r="A79" s="3" t="str">
        <x:v>SUG-09</x:v>
      </x:c>
      <x:c r="B79" s="3" t="str">
        <x:v>Import</x:v>
      </x:c>
      <x:c r="C79" s="3" t="str">
        <x:v>Provider monitoring and recovery</x:v>
      </x:c>
      <x:c r="D79" s="9" t="str">
        <x:v>Proposed</x:v>
      </x:c>
      <x:c r="E79" s="9" t="str">
        <x:v>P2</x:v>
      </x:c>
      <x:c r="F79" s="9" t="str">
        <x:v>Later</x:v>
      </x:c>
      <x:c r="G79" s="9" t="str">
        <x:v>Suggestion</x:v>
      </x:c>
      <x:c r="H79" s="9" t="str">
        <x:v>Pending</x:v>
      </x:c>
      <x:c r="I79" s="3" t="str">
        <x:f>IF(AND(OR(D79="Implemented",D79="Done"),H79="Pass"),"Checked","Open")</x:f>
        <x:v>Open</x:v>
      </x:c>
    </x:row>
    <x:row r="80" ht="48" customHeight="1">
      <x:c r="A80" s="3" t="str">
        <x:v>SUG-10</x:v>
      </x:c>
      <x:c r="B80" s="3" t="str">
        <x:v>Documentation</x:v>
      </x:c>
      <x:c r="C80" s="3" t="str">
        <x:v>Update outdated feature copy</x:v>
      </x:c>
      <x:c r="D80" s="9" t="str">
        <x:v>Proposed</x:v>
      </x:c>
      <x:c r="E80" s="9" t="str">
        <x:v>P1</x:v>
      </x:c>
      <x:c r="F80" s="9" t="str">
        <x:v>Foundations</x:v>
      </x:c>
      <x:c r="G80" s="9" t="str">
        <x:v>Suggestion</x:v>
      </x:c>
      <x:c r="H80" s="9" t="str">
        <x:v>Pending</x:v>
      </x:c>
      <x:c r="I80" s="3" t="str">
        <x:f>IF(AND(OR(D80="Implemented",D80="Done"),H80="Pass"),"Checked","Open")</x:f>
        <x:v>Open</x:v>
      </x:c>
    </x:row>
    <x:row r="81" ht="48" customHeight="1">
      <x:c r="A81" s="3" t="str">
        <x:v>SUG-11</x:v>
      </x:c>
      <x:c r="B81" s="3" t="str">
        <x:v>Progression</x:v>
      </x:c>
      <x:c r="C81" s="3" t="str">
        <x:v>Leveling and permanent growth design</x:v>
      </x:c>
      <x:c r="D81" s="9" t="str">
        <x:v>Proposed</x:v>
      </x:c>
      <x:c r="E81" s="9" t="str">
        <x:v>P3</x:v>
      </x:c>
      <x:c r="F81" s="9" t="str">
        <x:v>Later</x:v>
      </x:c>
      <x:c r="G81" s="9" t="str">
        <x:v>Suggestion</x:v>
      </x:c>
      <x:c r="H81" s="9" t="str">
        <x:v>Pending</x:v>
      </x:c>
      <x:c r="I81" s="3" t="str">
        <x:f>IF(AND(OR(D81="Implemented",D81="Done"),H81="Pass"),"Checked","Open")</x:f>
        <x:v>Open</x:v>
      </x:c>
    </x:row>
    <x:row r="82" ht="48" customHeight="1">
      <x:c r="A82" s="3" t="str">
        <x:v>SUG-12</x:v>
      </x:c>
      <x:c r="B82" s="3" t="str">
        <x:v>Multiplayer</x:v>
      </x:c>
      <x:c r="C82" s="3" t="str">
        <x:v>Saved-team asynchronous PvP</x:v>
      </x:c>
      <x:c r="D82" s="9" t="str">
        <x:v>Proposed</x:v>
      </x:c>
      <x:c r="E82" s="9" t="str">
        <x:v>P3</x:v>
      </x:c>
      <x:c r="F82" s="9" t="str">
        <x:v>Later</x:v>
      </x:c>
      <x:c r="G82" s="9" t="str">
        <x:v>Suggestion</x:v>
      </x:c>
      <x:c r="H82" s="9" t="str">
        <x:v>Pending</x:v>
      </x:c>
      <x:c r="I82" s="3" t="str">
        <x:f>IF(AND(OR(D82="Implemented",D82="Done"),H82="Pass"),"Checked","Open")</x:f>
        <x:v>Open</x:v>
      </x:c>
    </x:row>
  </x:sheetData>
  <x:mergeCells>
    <x:mergeCell ref="A2:I2"/>
    <x:mergeCell ref="A4:I4"/>
  </x:mergeCells>
  <x:conditionalFormatting sqref="D7:D82">
    <x:cfRule type="containsText" dxfId="0" priority="1" operator="containsText" text="Implemented"/>
    <x:cfRule type="containsText" dxfId="1" priority="2" operator="containsText" text="Partial"/>
    <x:cfRule type="containsText" dxfId="2" priority="3" operator="containsText" text="Planned"/>
    <x:cfRule type="containsText" dxfId="3" priority="4" operator="containsText" text="Proposed"/>
    <x:cfRule type="containsText" dxfId="4" priority="5" operator="containsText" text="Blocked"/>
    <x:cfRule type="containsText" dxfId="5" priority="6" operator="containsText" text="Done"/>
  </x:conditionalFormatting>
  <x:conditionalFormatting sqref="H7:H82">
    <x:cfRule type="containsText" dxfId="6" priority="7" operator="containsText" text="Fail"/>
  </x:conditionalFormatting>
  <x:dataValidations count="4">
    <x:dataValidation type="list" sqref="D7:D82">
      <x:formula1>"Implemented,Partial,Planned,Proposed,In progress,Blocked,Done,Deferred"</x:formula1>
    </x:dataValidation>
    <x:dataValidation type="list" sqref="E7:E82">
      <x:formula1>"Maintain,P0,P1,P2,P3"</x:formula1>
    </x:dataValidation>
    <x:dataValidation type="list" sqref="F7:F82">
      <x:formula1>"Baseline,Foundations,Progression,Content,Later"</x:formula1>
    </x:dataValidation>
    <x:dataValidation type="list" sqref="H7:H82">
      <x:formula1>"Pending,Pass,Fail"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57d6b4c25541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.130000114440918" hidden="0" customWidth="1"/>
    <x:col min="2" max="2" width="62.5" hidden="0" customWidth="1"/>
    <x:col min="3" max="3" width="68.12999725341797" hidden="0" customWidth="1"/>
    <x:col min="4" max="4" width="29.3799991607666" hidden="0" customWidth="1"/>
    <x:col min="5" max="5" width="48.130001068115234" hidden="0" customWidth="1"/>
  </x:cols>
  <x:sheetData>
    <x:row r="1" ht="10" customHeight="1">
      <x:c r="A1" s="3"/>
      <x:c r="B1" s="3"/>
      <x:c r="C1" s="3"/>
      <x:c r="D1" s="3"/>
      <x:c r="E1" s="3"/>
    </x:row>
    <x:row r="2" ht="32" customHeight="1">
      <x:c r="A2" s="7" t="str">
        <x:v>Requirements and acceptance criteria</x:v>
      </x:c>
      <x:c r="B2" s="3"/>
      <x:c r="C2" s="3"/>
      <x:c r="D2" s="3"/>
      <x:c r="E2" s="3"/>
    </x:row>
    <x:row r="3" ht="30" customHeight="1">
      <x:c r="A3" s="8"/>
      <x:c r="B3" s="8"/>
      <x:c r="C3" s="8"/>
      <x:c r="D3" s="8"/>
      <x:c r="E3" s="8"/>
    </x:row>
    <x:row r="4" ht="30" customHeight="1">
      <x:c r="A4" s="3" t="str">
        <x:v>Match IDs to Tracker. Evidence refers to repository source inspected on 12 Oct 2026. Future criteria are proposed test targets.</x:v>
      </x:c>
      <x:c r="B4" s="3"/>
      <x:c r="C4" s="3"/>
      <x:c r="D4" s="3"/>
      <x:c r="E4" s="3"/>
    </x:row>
    <x:row r="5" ht="30" customHeight="1">
      <x:c r="A5" s="3"/>
      <x:c r="B5" s="3"/>
      <x:c r="C5" s="3"/>
      <x:c r="D5" s="3"/>
      <x:c r="E5" s="3"/>
    </x:row>
    <x:row r="6" ht="32" customHeight="1">
      <x:c r="A6" s="6" t="str">
        <x:v>ID</x:v>
      </x:c>
      <x:c r="B6" s="6" t="str">
        <x:v>Requirement</x:v>
      </x:c>
      <x:c r="C6" s="6" t="str">
        <x:v>Acceptance criteria</x:v>
      </x:c>
      <x:c r="D6" s="6" t="str">
        <x:v>Dependencies / decisions</x:v>
      </x:c>
      <x:c r="E6" s="6" t="str">
        <x:v>Evidence / current limit</x:v>
      </x:c>
    </x:row>
    <x:row r="7" ht="105" customHeight="1">
      <x:c r="A7" s="3" t="str">
        <x:v>CORE-01</x:v>
      </x:c>
      <x:c r="B7" s="3" t="str">
        <x:v>Import public anime and manga lists from a username or profile URL. Offer an offline demo without a MAL client ID.</x:v>
      </x:c>
      <x:c r="C7" s="3" t="str">
        <x:v>Public profile imports both media types. Private/unavailable lists explain the failure. Demo works without network access.</x:v>
      </x:c>
      <x:c r="D7" s="3" t="str"/>
      <x:c r="E7" s="3" t="str">
        <x:v>src/lib/server/providers.ts; src/routes/api/imports/+server.ts</x:v>
      </x:c>
    </x:row>
    <x:row r="8" ht="105" customHeight="1">
      <x:c r="A8" s="3" t="str">
        <x:v>CORE-02</x:v>
      </x:c>
      <x:c r="B8" s="3" t="str">
        <x:v>Collect characters for each imported title and deduplicate by MAL character ID.</x:v>
      </x:c>
      <x:c r="C8" s="3" t="str">
        <x:v>A character in multiple titles appears once in the pool and retains its source titles.</x:v>
      </x:c>
      <x:c r="D8" s="3" t="str"/>
      <x:c r="E8" s="3" t="str">
        <x:v>src/lib/server/engine.ts; src/lib/pool.ts</x:v>
      </x:c>
    </x:row>
    <x:row r="9" ht="105" customHeight="1">
      <x:c r="A9" s="3" t="str">
        <x:v>CORE-03</x:v>
      </x:c>
      <x:c r="B9" s="3" t="str">
        <x:v>Show import counts and progress. Cancel safely and retry incomplete titles while retaining fetched data.</x:v>
      </x:c>
      <x:c r="C9" s="3" t="str">
        <x:v>Cancel stops further queued work. Resume retains existing characters and retries unfinished titles.</x:v>
      </x:c>
      <x:c r="D9" s="3" t="str"/>
      <x:c r="E9" s="3" t="str">
        <x:v>src/lib/server/engine.ts; src/lib/components/LotteryPanel.svelte</x:v>
      </x:c>
    </x:row>
    <x:row r="10" ht="105" customHeight="1">
      <x:c r="A10" s="3" t="str">
        <x:v>CORE-04</x:v>
      </x:c>
      <x:c r="B10" s="3" t="str">
        <x:v>Draw 5–10 distinct characters from the prepared pool. Allow early draws where the current pool is sufficient.</x:v>
      </x:c>
      <x:c r="C10" s="3" t="str">
        <x:v>No duplicate character within one draw. Early draws show limited-pool context. Later draws reuse saved data.</x:v>
      </x:c>
      <x:c r="D10" s="3" t="str"/>
      <x:c r="E10" s="3" t="str">
        <x:v>src/lib/components/LotteryPanel.svelte; src/routes/api/imports/[id]/roll/+server.ts</x:v>
      </x:c>
    </x:row>
    <x:row r="11" ht="105" customHeight="1">
      <x:c r="A11" s="3" t="str">
        <x:v>CORE-05</x:v>
      </x:c>
      <x:c r="B11" s="3" t="str">
        <x:v>Filter eligible draws by an editable minimum MAL favorite count.</x:v>
      </x:c>
      <x:c r="C11" s="3" t="str">
        <x:v>The threshold is a nonnegative integer. Unknown counts are excluded. Insufficient pools explain the limit.</x:v>
      </x:c>
      <x:c r="D11" s="3" t="str"/>
      <x:c r="E11" s="3" t="str">
        <x:v>src/lib/components/LotteryPanel.svelte</x:v>
      </x:c>
    </x:row>
    <x:row r="12" ht="105" customHeight="1">
      <x:c r="A12" s="3" t="str">
        <x:v>CORE-06</x:v>
      </x:c>
      <x:c r="B12" s="3" t="str">
        <x:v>Assign N/R/SR/SSR/UR from favorites. Display rarity labels, frames, high-rarity glows and rolling previews. Use the 225:350 portrait ratio.</x:v>
      </x:c>
      <x:c r="C12" s="3" t="str">
        <x:v>Rarity boundaries match rarity.ts. Portraits retain the full image. Reduced-motion preference disables unnecessary animation.</x:v>
      </x:c>
      <x:c r="D12" s="3" t="str"/>
      <x:c r="E12" s="3" t="str">
        <x:v>src/lib/rarity.ts; src/style.css; src/lib/components/LotteryPanel.svelte</x:v>
      </x:c>
    </x:row>
    <x:row r="13" ht="105" customHeight="1">
      <x:c r="A13" s="3" t="str">
        <x:v>MATCH-01</x:v>
      </x:c>
      <x:c r="B13" s="3" t="str">
        <x:v>Import two independently configured profiles. Both sides use one shared 5–10 draw size and mirrored desktop layouts.</x:v>
      </x:c>
      <x:c r="C13" s="3" t="str">
        <x:v>Same profile can be used twice. Controls and results remain usable on desktop and stacked mobile layouts.</x:v>
      </x:c>
      <x:c r="D13" s="3" t="str"/>
      <x:c r="E13" s="3" t="str">
        <x:v>src/routes/malchups/+page.svelte; src/style.css</x:v>
      </x:c>
    </x:row>
    <x:row r="14" ht="105" customHeight="1">
      <x:c r="A14" s="3" t="str">
        <x:v>MATCH-02</x:v>
      </x:c>
      <x:c r="B14" s="3" t="str">
        <x:v>Draw both teams concurrently, finish mode-specific lookups, then show the winner and totals. Place the next draw button below the result.</x:v>
      </x:c>
      <x:c r="C14" s="3" t="str">
        <x:v>All three modes run from one button. Failed or incomplete draws never reuse a stale winner. Controls lock during the operation.</x:v>
      </x:c>
      <x:c r="D14" s="3" t="str"/>
      <x:c r="E14" s="3" t="str">
        <x:v>src/routes/malchups/+page.svelte</x:v>
      </x:c>
    </x:row>
    <x:row r="15" ht="105" customHeight="1">
      <x:c r="A15" s="3" t="str">
        <x:v>MATCH-03</x:v>
      </x:c>
      <x:c r="B15" s="3" t="str">
        <x:v>Compare total MAL character favorites across equal-size teams.</x:v>
      </x:c>
      <x:c r="C15" s="3" t="str">
        <x:v>Higher total wins. Equal totals draw. Unknown counts are visibly treated as zero.</x:v>
      </x:c>
      <x:c r="D15" s="3" t="str"/>
      <x:c r="E15" s="3" t="str">
        <x:v>src/lib/match.ts</x:v>
      </x:c>
    </x:row>
    <x:row r="16" ht="105" customHeight="1">
      <x:c r="A16" s="3" t="str">
        <x:v>MATCH-04</x:v>
      </x:c>
      <x:c r="B16" s="3" t="str">
        <x:v>Each character contributes its highest-scored anime/manga source within the imported collection. Compare team sums.</x:v>
      </x:c>
      <x:c r="C16" s="3" t="str">
        <x:v>Completed imports and sufficient rated characters are required. Each character contributes exactly one community score.</x:v>
      </x:c>
      <x:c r="D16" s="3" t="str"/>
      <x:c r="E16" s="3" t="str">
        <x:v>src/lib/match.ts; src/lib/components/LotteryPanel.svelte</x:v>
      </x:c>
    </x:row>
    <x:row r="17" ht="105" customHeight="1">
      <x:c r="A17" s="3" t="str">
        <x:v>MATCH-05</x:v>
      </x:c>
      <x:c r="B17" s="3" t="str">
        <x:v>Use the highest explicit VS Battles tier on the matched character page. Handle name order, variants and franchise context.</x:v>
      </x:c>
      <x:c r="C17" s="3" t="str">
        <x:v>Missing matches remain unranked. Source links reveal the selected page. The highest ranked character determines the team result.</x:v>
      </x:c>
      <x:c r="D17" s="3" t="str"/>
      <x:c r="E17" s="3" t="str">
        <x:v>src/lib/server/powers.ts; src/lib/server/power-parser.ts; src/lib/power.ts</x:v>
      </x:c>
    </x:row>
    <x:row r="18" ht="105" customHeight="1">
      <x:c r="A18" s="3" t="str">
        <x:v>JOUR-01</x:v>
      </x:c>
      <x:c r="B18" s="3" t="str">
        <x:v>Roll five distinct pool characters. Guarantee one character with a cataloged ability when eligible characters exist.</x:v>
      </x:c>
      <x:c r="C18" s="3" t="str">
        <x:v>Exactly five members. At least one cataloged passive. Ineligible pools show a helpful error. A listed passive need not yet have battle mechanics.</x:v>
      </x:c>
      <x:c r="D18" s="3" t="str"/>
      <x:c r="E18" s="3" t="str">
        <x:v>src/lib/journeys.ts; src/lib/server/engine.ts</x:v>
      </x:c>
    </x:row>
    <x:row r="19" ht="105" customHeight="1">
      <x:c r="A19" s="3" t="str">
        <x:v>JOUR-02</x:v>
      </x:c>
      <x:c r="B19" s="3" t="str">
        <x:v>Generate bounded HP/ATK/DEF/SPD with exact rarity BST and retain values on each unit instance.</x:v>
      </x:c>
      <x:c r="C19" s="3" t="str">
        <x:v>N/R/SR/SSR/UR totals are 500/520/545/570/600. Refresh preserves stats. Replacement creates a new instance with new stats.</x:v>
      </x:c>
      <x:c r="D19" s="3" t="str"/>
      <x:c r="E19" s="3" t="str">
        <x:v>src/lib/stats.ts; src/lib/server/store.ts</x:v>
      </x:c>
    </x:row>
    <x:row r="20" ht="105" customHeight="1">
      <x:c r="A20" s="3" t="str">
        <x:v>JOUR-03</x:v>
      </x:c>
      <x:c r="B20" s="3" t="str">
        <x:v>Show series, favorites, rarity, passive descriptions, base stats and colored modifier bars.</x:v>
      </x:c>
      <x:c r="C20" s="3" t="str">
        <x:v>HP/ATK/DEF/SPD/BST are readable. Gear and keyword bonuses are separated from stored base values. Tooltips work with keyboard focus.</x:v>
      </x:c>
      <x:c r="D20" s="3" t="str"/>
      <x:c r="E20" s="3" t="str">
        <x:v>src/lib/components/JourneyCharacter.svelte; src/lib/components/KeywordTags.svelte</x:v>
      </x:c>
    </x:row>
    <x:row r="21" ht="105" customHeight="1">
      <x:c r="A21" s="3" t="str">
        <x:v>JOUR-04</x:v>
      </x:c>
      <x:c r="B21" s="3" t="str">
        <x:v>Separate pathway selection, battle replay and inventory. FIGHT and CONTINUE switch views and scroll to the relevant section.</x:v>
      </x:c>
      <x:c r="C21" s="3" t="str">
        <x:v>Players can follow a run without repeatedly scrolling past all earlier controls. Switching views retains the active run.</x:v>
      </x:c>
      <x:c r="D21" s="3" t="str"/>
      <x:c r="E21" s="3" t="str">
        <x:v>src/lib/components/JourneyEncounter.svelte</x:v>
      </x:c>
    </x:row>
    <x:row r="22" ht="105" customHeight="1">
      <x:c r="A22" s="3" t="str">
        <x:v>JOUR-05</x:v>
      </x:c>
      <x:c r="B22" s="3" t="str">
        <x:v>Offer three distinct five-character teams from the imported pool. Hide opponent favorites. Allow one replacement after a qualifying victory.</x:v>
      </x:c>
      <x:c r="C22" s="3" t="str">
        <x:v>Selections are locked after choosing. A victory grants no more than one saved replacement. Empty slots can be refilled.</x:v>
      </x:c>
      <x:c r="D22" s="3" t="str"/>
      <x:c r="E22" s="3" t="str">
        <x:v>src/lib/server/engine.ts; src/lib/journeys.ts</x:v>
      </x:c>
    </x:row>
    <x:row r="23" ht="105" customHeight="1">
      <x:c r="A23" s="3" t="str">
        <x:v>JOUR-06</x:v>
      </x:c>
      <x:c r="B23" s="3" t="str">
        <x:v>Show three life orbs. Loss removes one life. At zero lives, reset progress, inventory and team. Include a testing reset button.</x:v>
      </x:c>
      <x:c r="C23" s="3" t="str">
        <x:v>Repeated result requests do not remove extra lives. Reset restores three lives and floor progress, removes inventory and creates a new team.</x:v>
      </x:c>
      <x:c r="D23" s="3" t="str"/>
      <x:c r="E23" s="3" t="str">
        <x:v>src/lib/server/engine.ts; src/lib/components/JourneyEncounter.svelte</x:v>
      </x:c>
    </x:row>
    <x:row r="24" ht="105" customHeight="1">
      <x:c r="A24" s="3" t="str">
        <x:v>BATTLE-01</x:v>
      </x:c>
      <x:c r="B24" s="3" t="str">
        <x:v>Speed determines ATB fill. Full ATB triggers a random living target attack and resets the gauge. Damage = 25 × 2ATK / (ATK + DEF).</x:v>
      </x:c>
      <x:c r="C24" s="3" t="str">
        <x:v>Each unit has a battle-only gauge. Living enemies receive valid attacks. Damage, attack lines and hit feedback agree with the replay.</x:v>
      </x:c>
      <x:c r="D24" s="3" t="str"/>
      <x:c r="E24" s="3" t="str">
        <x:v>src/lib/autobattle.ts; src/lib/components/AutoBattle.svelte</x:v>
      </x:c>
    </x:row>
    <x:row r="25" ht="105" customHeight="1">
      <x:c r="A25" s="3" t="str">
        <x:v>BATTLE-02</x:v>
      </x:c>
      <x:c r="B25" s="3" t="str">
        <x:v>Compute and save battle outcomes on the server. Play elapsed-time-based replays in the client, including when returning from another tab.</x:v>
      </x:c>
      <x:c r="C25" s="3" t="str">
        <x:v>Outcome cannot change with browser rendering speed. Returning to a backgrounded tab catches up. Reload restoration requires explicit QA.</x:v>
      </x:c>
      <x:c r="D25" s="3" t="str"/>
      <x:c r="E25" s="3" t="str">
        <x:v>src/lib/autobattle.ts; src/lib/components/AutoBattle.svelte; src/lib/server/engine.ts</x:v>
      </x:c>
    </x:row>
    <x:row r="26" ht="105" customHeight="1">
      <x:c r="A26" s="3" t="str">
        <x:v>BATTLE-03</x:v>
      </x:c>
      <x:c r="B26" s="3" t="str">
        <x:v>Play battle clocks at 2× speed and accelerate stage title shuffling. Keep floors, rewards and reroll counts unchanged.</x:v>
      </x:c>
      <x:c r="C26" s="3" t="str">
        <x:v>Equivalent seeded battles have the same winner and effects. Turbo changes presentation time, not floor progression or saved stats.</x:v>
      </x:c>
      <x:c r="D26" s="3" t="str"/>
      <x:c r="E26" s="3" t="str">
        <x:v>src/lib/components/AutoBattle.svelte; src/lib/components/JourneyEncounter.svelte</x:v>
      </x:c>
    </x:row>
    <x:row r="27" ht="105" customHeight="1">
      <x:c r="A27" s="3" t="str">
        <x:v>ABILITY-01</x:v>
      </x:c>
      <x:c r="B27" s="3" t="str">
        <x:v>64 character ability descriptions are cataloged. Twelve have mechanics, including burn, revive, aura, time stop and multi-hit attacks.</x:v>
      </x:c>
      <x:c r="C27" s="3" t="str">
        <x:v>Both teams can use implemented passives. Title feedback shows activation. Temporary buffs and effects do not overwrite baseStats.</x:v>
      </x:c>
      <x:c r="D27" s="3" t="str"/>
      <x:c r="E27" s="3" t="str">
        <x:v>src/lib/data/abilities.json; src/lib/battle-abilities.ts; src/lib/autobattle.ts</x:v>
      </x:c>
    </x:row>
    <x:row r="28" ht="105" customHeight="1">
      <x:c r="A28" s="3" t="str">
        <x:v>BATTLE-04</x:v>
      </x:c>
      <x:c r="B28" s="3" t="str">
        <x:v>Support BURN, CHILL, TAUNT, Soul Gem, Marine Solidarity and Witch behavior. Stand Arrow can grant implemented passives up to the cap.</x:v>
      </x:c>
      <x:c r="C28" s="3" t="str">
        <x:v>Burn refreshes without stacking. Chill slows ATB. Taunt changes targeting. Unit abilities respect the cap and battle scope.</x:v>
      </x:c>
      <x:c r="D28" s="3" t="str"/>
      <x:c r="E28" s="3" t="str">
        <x:v>src/lib/battle-abilities.ts; src/lib/events.ts; src/lib/autobattle.ts</x:v>
      </x:c>
    </x:row>
    <x:row r="29" ht="105" customHeight="1">
      <x:c r="A29" s="3" t="str">
        <x:v>ITEM-01</x:v>
      </x:c>
      <x:c r="B29" s="3" t="str">
        <x:v>Store relics, equipment and consumables as item instances. Group them in Inventory and show descriptions.</x:v>
      </x:c>
      <x:c r="C29" s="3" t="str">
        <x:v>The bag survives reload. Equipped icons appear on unit portraits. Used consumables are removed without a history log.</x:v>
      </x:c>
      <x:c r="D29" s="3" t="str"/>
      <x:c r="E29" s="3" t="str">
        <x:v>src/lib/data/items.json; src/lib/server/inventory.ts; src/lib/components/JourneyInventory.svelte</x:v>
      </x:c>
    </x:row>
    <x:row r="30" ht="105" customHeight="1">
      <x:c r="A30" s="3" t="str">
        <x:v>ITEM-02</x:v>
      </x:c>
      <x:c r="B30" s="3" t="str">
        <x:v>Nichirin Sword grants +15 ATK, Air Gear +15 SPD, and White Whistle buffs the strongest other ally by 5%. Cap equipment at three per unit.</x:v>
      </x:c>
      <x:c r="C30" s="3" t="str">
        <x:v>Duplicate items stack. White Whistle cannot target its owner. BST ties pick the first eligible ally. Saved baseStats are unchanged.</x:v>
      </x:c>
      <x:c r="D30" s="3" t="str"/>
      <x:c r="E30" s="3" t="str">
        <x:v>src/lib/items.ts; src/lib/server/inventory.ts</x:v>
      </x:c>
    </x:row>
    <x:row r="31" ht="105" customHeight="1">
      <x:c r="A31" s="3" t="str">
        <x:v>ITEM-03</x:v>
      </x:c>
      <x:c r="B31" s="3" t="str">
        <x:v>Going Merry and Thousand Sunny each add one permanent slot during the run. Each relic is unique per player inventory.</x:v>
      </x:c>
      <x:c r="C31" s="3" t="str">
        <x:v>Owned unique relics cannot recur in reward choices. Extra units can attack, use passives and be replaced. Reset removes the relics.</x:v>
      </x:c>
      <x:c r="D31" s="3" t="str"/>
      <x:c r="E31" s="3" t="str">
        <x:v>src/lib/items.ts; src/lib/server/inventory.ts</x:v>
      </x:c>
    </x:row>
    <x:row r="32" ht="105" customHeight="1">
      <x:c r="A32" s="3" t="str">
        <x:v>ITEM-04</x:v>
      </x:c>
      <x:c r="B32" s="3" t="str">
        <x:v>Sukuna’s Finger transforms a unit, Master Ball rolls an eligible UR, and Stand Arrow grants a passive or permanently empties a slot.</x:v>
      </x:c>
      <x:c r="C32" s="3" t="str">
        <x:v>Actions validate the target and availability. Failure does not consume the item. Transformations roll fresh stats and discard replaced unit gear.</x:v>
      </x:c>
      <x:c r="D32" s="3" t="str"/>
      <x:c r="E32" s="3" t="str">
        <x:v>src/lib/server/inventory.ts</x:v>
      </x:c>
    </x:row>
    <x:row r="33" ht="105" customHeight="1">
      <x:c r="A33" s="3" t="str">
        <x:v>ITEM-05</x:v>
      </x:c>
      <x:c r="B33" s="3" t="str">
        <x:v>At each multiple of five cleared floors, offer three random eligible items and claim one.</x:v>
      </x:c>
      <x:c r="C33" s="3" t="str">
        <x:v>A reward cannot be claimed twice. Progress waits for the outstanding reward. Bosses are not the sole reward trigger.</x:v>
      </x:c>
      <x:c r="D33" s="3" t="str"/>
      <x:c r="E33" s="3" t="str">
        <x:v>src/lib/server/engine.ts; src/lib/items.ts; src/lib/components/ItemReward.svelte</x:v>
      </x:c>
    </x:row>
    <x:row r="34" ht="105" customHeight="1">
      <x:c r="A34" s="3" t="str">
        <x:v>BOSS-01</x:v>
      </x:c>
      <x:c r="B34" s="3" t="str">
        <x:v>On upcoming floors 10,20,… show one boss pathway with no stage. Boss HP is 500 and ATK+DEF+SPD is 510 within UR bounds.</x:v>
      </x:c>
      <x:c r="C34" s="3" t="str">
        <x:v>Bosses have red frames and BOSS tags. Loss leaves the boss encounter floor pending. Only one enemy unit is spawned.</x:v>
      </x:c>
      <x:c r="D34" s="3" t="str"/>
      <x:c r="E34" s="3" t="str">
        <x:v>src/lib/bosses.ts; src/lib/server/engine.ts</x:v>
      </x:c>
    </x:row>
    <x:row r="35" ht="105" customHeight="1">
      <x:c r="A35" s="3" t="str">
        <x:v>BOSS-02</x:v>
      </x:c>
      <x:c r="B35" s="3" t="str">
        <x:v>Display Lure, Tailed Beast Bomb, Gun Fiend, Adaptation and Form Change. Bosses currently fight as stat-only units.</x:v>
      </x:c>
      <x:c r="C35" s="3" t="str">
        <x:v>Catalog and UI clearly distinguish descriptive previews from active boss mechanics.</x:v>
      </x:c>
      <x:c r="D35" s="3" t="str"/>
      <x:c r="E35" s="3" t="str">
        <x:v>src/lib/bosses.ts; src/lib/components/JourneyCharacter.svelte</x:v>
      </x:c>
    </x:row>
    <x:row r="36" ht="105" customHeight="1">
      <x:c r="A36" s="3" t="str">
        <x:v>STAGE-01</x:v>
      </x:c>
      <x:c r="B36" s="3" t="str">
        <x:v>Roll a stage before choosing opponents. Effect and neutral groups each have 50% probability, evenly split within the group.</x:v>
      </x:c>
      <x:c r="C36" s="3" t="str">
        <x:v>The selected stage persists for its encounter. Bosses have no stages. Neutral stages display No effect.</x:v>
      </x:c>
      <x:c r="D36" s="3" t="str"/>
      <x:c r="E36" s="3" t="str">
        <x:v>src/lib/data/stages.json; src/lib/stages.ts; src/lib/server/engine.ts</x:v>
      </x:c>
    </x:row>
    <x:row r="37" ht="105" customHeight="1">
      <x:c r="A37" s="3" t="str">
        <x:v>STAGE-02</x:v>
      </x:c>
      <x:c r="B37" s="3" t="str">
        <x:v>Implement Punk Hazard, Budokai, Dangai, Valley of the End, Colosseum, Hope’s Peak Academy and Itomori.</x:v>
      </x:c>
      <x:c r="C37" s="3" t="str">
        <x:v>Burn/chill, duels, sweeps, strongest-unit selection, side swaps, execution and HP-percent impact follow their definitions. Original teams return after combat.</x:v>
      </x:c>
      <x:c r="D37" s="3" t="str"/>
      <x:c r="E37" s="3" t="str">
        <x:v>src/lib/autobattle.ts; src/lib/components/StageBanner.svelte</x:v>
      </x:c>
    </x:row>
    <x:row r="38" ht="105" customHeight="1">
      <x:c r="A38" s="3" t="str">
        <x:v>EVENT-01</x:v>
      </x:c>
      <x:c r="B38" s="3" t="str">
        <x:v>Each of three ordinary pathways independently has a 15% event chance. Events use dialogs and saved choice/target/reward states.</x:v>
      </x:c>
      <x:c r="C38" s="3" t="str">
        <x:v>An event replaces a team option. Its result applies once. Pending choices restore on reload. Boss pathways stay boss-only.</x:v>
      </x:c>
      <x:c r="D38" s="3" t="str"/>
      <x:c r="E38" s="3" t="str">
        <x:v>src/lib/events.ts; src/lib/server/engine.ts; src/lib/components/EventPopup.svelte</x:v>
      </x:c>
    </x:row>
    <x:row r="39" ht="105" customHeight="1">
      <x:c r="A39" s="3" t="str">
        <x:v>EVENT-02</x:v>
      </x:c>
      <x:c r="B39" s="3" t="str">
        <x:v>A Small White Creature offers Yes/No. Yes grants a selected eligible unit +15% ATK/DEF/SPD and the Soul Gem transformation rule.</x:v>
      </x:c>
      <x:c r="C39" s="3" t="str">
        <x:v>No existing Soul Gem unit is eligible again. On death the Witch gains its boost, attacks both teams and must be defeated for player victory.</x:v>
      </x:c>
      <x:c r="D39" s="3" t="str"/>
      <x:c r="E39" s="3" t="str">
        <x:v>src/lib/data/events.json; src/lib/events.ts; src/lib/autobattle.ts</x:v>
      </x:c>
    </x:row>
    <x:row r="40" ht="105" customHeight="1">
      <x:c r="A40" s="3" t="str">
        <x:v>EVENT-03</x:v>
      </x:c>
      <x:c r="B40" s="3" t="str">
        <x:v>Yes starts an idle battle against five sampled Marines with +5% stats. Victory grants one of five captives to replace a team slot.</x:v>
      </x:c>
      <x:c r="C40" s="3" t="str">
        <x:v>No skips safely. Loss follows normal life rules. Victory reward is saved and applies only once. Marine ability holders use implemented passives.</x:v>
      </x:c>
      <x:c r="D40" s="3" t="str"/>
      <x:c r="E40" s="3" t="str">
        <x:v>src/lib/data/event-characters.json; src/lib/server/engine.ts</x:v>
      </x:c>
    </x:row>
    <x:row r="41" ht="105" customHeight="1">
      <x:c r="A41" s="3" t="str">
        <x:v>TECH-01</x:v>
      </x:c>
      <x:c r="B41" s="3" t="str">
        <x:v>Separate descriptions/configuration in abilities, items, events and stages JSON from TypeScript mechanics. Keep stable IDs in saves.</x:v>
      </x:c>
      <x:c r="C41" s="3" t="str">
        <x:v>Catalog edits do not rename saved IDs. Adding text alone is never assumed to implement a new mechanic.</x:v>
      </x:c>
      <x:c r="D41" s="3" t="str"/>
      <x:c r="E41" s="3" t="str">
        <x:v>src/lib/data/; src/lib/items.ts; src/lib/events.ts; src/lib/stages.ts</x:v>
      </x:c>
    </x:row>
    <x:row r="42" ht="105" customHeight="1">
      <x:c r="A42" s="3" t="str">
        <x:v>TECH-02</x:v>
      </x:c>
      <x:c r="B42" s="3" t="str">
        <x:v>Save jobs, teams, items and encounters as server-side JSON. Browser storage remembers import identifiers. Production starts from host environment variables.</x:v>
      </x:c>
      <x:c r="C42" s="3" t="str">
        <x:v>No production .env file is required. Server storage location is configurable. Cross-device account identity is not yet available.</x:v>
      </x:c>
      <x:c r="D42" s="3" t="str"/>
      <x:c r="E42" s="3" t="str">
        <x:v>src/lib/server/store.ts; package.json; README.md</x:v>
      </x:c>
    </x:row>
    <x:row r="43" ht="105" customHeight="1">
      <x:c r="A43" s="3" t="str">
        <x:v>PLAN-01</x:v>
      </x:c>
      <x:c r="B43" s="3" t="str">
        <x:v>Implement more listed character passives in small batches. Document unsupported mechanics explicitly.</x:v>
      </x:c>
      <x:c r="C43" s="3" t="str">
        <x:v>Each implemented passive has a battle test, activation feedback and correct reset behavior. Catalog-only passives remain visibly identified.</x:v>
      </x:c>
      <x:c r="D43" s="3" t="str">
        <x:v>PLAN-05, SUG-02</x:v>
      </x:c>
      <x:c r="E43" s="3" t="str">
        <x:v>User roadmap</x:v>
      </x:c>
    </x:row>
    <x:row r="44" ht="105" customHeight="1">
      <x:c r="A44" s="3" t="str">
        <x:v>PLAN-02</x:v>
      </x:c>
      <x:c r="B44" s="3" t="str">
        <x:v>Add relics, equipment and consumables with distinct tactical benefits.</x:v>
      </x:c>
      <x:c r="C44" s="3" t="str">
        <x:v>New items have valid IDs, descriptions, acquisition rules and tested interactions. Unique, stackable and target rules are explicit.</x:v>
      </x:c>
      <x:c r="D44" s="3" t="str">
        <x:v>PLAN-06</x:v>
      </x:c>
      <x:c r="E44" s="3" t="str">
        <x:v>User roadmap</x:v>
      </x:c>
    </x:row>
    <x:row r="45" ht="105" customHeight="1">
      <x:c r="A45" s="3" t="str">
        <x:v>PLAN-03</x:v>
      </x:c>
      <x:c r="B45" s="3" t="str">
        <x:v>Add beneficial, harmful and neutral events with readable consequences.</x:v>
      </x:c>
      <x:c r="C45" s="3" t="str">
        <x:v>Each event has a complete flow, persisted state and one-time rewards or penalties. No event can strand the run.</x:v>
      </x:c>
      <x:c r="D45" s="3" t="str">
        <x:v>PLAN-07, PLAN-10</x:v>
      </x:c>
      <x:c r="E45" s="3" t="str">
        <x:v>User roadmap</x:v>
      </x:c>
    </x:row>
    <x:row r="46" ht="105" customHeight="1">
      <x:c r="A46" s="3" t="str">
        <x:v>PLAN-04</x:v>
      </x:c>
      <x:c r="B46" s="3" t="str">
        <x:v>Add new battle environments and alternate rules without changing the effect/neutral split unless approved.</x:v>
      </x:c>
      <x:c r="C46" s="3" t="str">
        <x:v>Each stage has a complete description, deterministic test and clear victory rule. Both sides are affected according to the rule.</x:v>
      </x:c>
      <x:c r="D46" s="3" t="str">
        <x:v>PLAN-08, SUG-02</x:v>
      </x:c>
      <x:c r="E46" s="3" t="str">
        <x:v>User roadmap</x:v>
      </x:c>
    </x:row>
    <x:row r="47" ht="105" customHeight="1">
      <x:c r="A47" s="3" t="str">
        <x:v>PLAN-05</x:v>
      </x:c>
      <x:c r="B47" s="3" t="str">
        <x:v>Tune proc rates, cooldowns, heal fractions, damage modifiers and revive frequency using simulations.</x:v>
      </x:c>
      <x:c r="C47" s="3" t="str">
        <x:v>Seeded mixed-team benchmarks reveal outliers. Changes have recorded rationale and do not alter stored rolled baseStats.</x:v>
      </x:c>
      <x:c r="D47" s="3" t="str">
        <x:v>SUG-02</x:v>
      </x:c>
      <x:c r="E47" s="3" t="str">
        <x:v>User roadmap</x:v>
      </x:c>
    </x:row>
    <x:row r="48" ht="105" customHeight="1">
      <x:c r="A48" s="3" t="str">
        <x:v>PLAN-06</x:v>
      </x:c>
      <x:c r="B48" s="3" t="str">
        <x:v>Balance equipment, permanent modifiers, extra slots and consumable risk. Define modifier order.</x:v>
      </x:c>
      <x:c r="C48" s="3" t="str">
        <x:v>Stacking, aura removal, transformations and replacement are covered. Each modifier type has a documented order and cap where needed.</x:v>
      </x:c>
      <x:c r="D48" s="3" t="str">
        <x:v>SUG-02</x:v>
      </x:c>
      <x:c r="E48" s="3" t="str">
        <x:v>User roadmap</x:v>
      </x:c>
    </x:row>
    <x:row r="49" ht="105" customHeight="1">
      <x:c r="A49" s="3" t="str">
        <x:v>PLAN-07</x:v>
      </x:c>
      <x:c r="B49" s="3" t="str">
        <x:v>Compare event skips, fights, trades and harmful outcomes against normal pathway rewards.</x:v>
      </x:c>
      <x:c r="C49" s="3" t="str">
        <x:v>Skipping events cannot produce unlimited safe progression. Reward strength and penalty severity match their floor bands.</x:v>
      </x:c>
      <x:c r="D49" s="3" t="str">
        <x:v>DEC-04, PLAN-10</x:v>
      </x:c>
      <x:c r="E49" s="3" t="str">
        <x:v>User roadmap</x:v>
      </x:c>
    </x:row>
    <x:row r="50" ht="105" customHeight="1">
      <x:c r="A50" s="3" t="str">
        <x:v>PLAN-08</x:v>
      </x:c>
      <x:c r="B50" s="3" t="str">
        <x:v>Tune durations and damage. Review extra-slot teams, Witches, revives and Taunt under alternate victory conditions.</x:v>
      </x:c>
      <x:c r="C50" s="3" t="str">
        <x:v>Stage-specific win rates and duration distributions are reviewed. Disallowed interactions are explicit and tested.</x:v>
      </x:c>
      <x:c r="D50" s="3" t="str">
        <x:v>SUG-02, DEC-03</x:v>
      </x:c>
      <x:c r="E50" s="3" t="str">
        <x:v>User roadmap</x:v>
      </x:c>
    </x:row>
    <x:row r="51" ht="105" customHeight="1">
      <x:c r="A51" s="3" t="str">
        <x:v>PLAN-09</x:v>
      </x:c>
      <x:c r="B51" s="3" t="str">
        <x:v>Support named choices beyond Yes/No, including trades and branching outcomes.</x:v>
      </x:c>
      <x:c r="C51" s="3" t="str">
        <x:v>Choices use stable IDs. Server validates options and eligibility. Branches survive reload and cannot apply rewards twice.</x:v>
      </x:c>
      <x:c r="D51" s="3" t="str">
        <x:v>PLAN-10</x:v>
      </x:c>
      <x:c r="E51" s="3" t="str">
        <x:v>User roadmap</x:v>
      </x:c>
    </x:row>
    <x:row r="52" ht="105" customHeight="1">
      <x:c r="A52" s="3" t="str">
        <x:v>PLAN-10</x:v>
      </x:c>
      <x:c r="B52" s="3" t="str">
        <x:v>Add a small event state model supporting choice, input, target, challenge, battle and result steps.</x:v>
      </x:c>
      <x:c r="C52" s="3" t="str">
        <x:v>Current two events still work. Each step defines allowed inputs, continuation and cancellation behavior. No arbitrary code is executed from JSON.</x:v>
      </x:c>
      <x:c r="D52" s="3" t="str">
        <x:v>EVENT-01</x:v>
      </x:c>
      <x:c r="E52" s="3" t="str">
        <x:v>User roadmap</x:v>
      </x:c>
    </x:row>
    <x:row r="53" ht="105" customHeight="1">
      <x:c r="A53" s="3" t="str">
        <x:v>PLAN-11</x:v>
      </x:c>
      <x:c r="B53" s="3" t="str">
        <x:v>Support short typed answers with defined validation and retry rules.</x:v>
      </x:c>
      <x:c r="C53" s="3" t="str">
        <x:v>Whitespace/case policy, accepted answers and maximum length are specified. Invalid answers show a clear result without losing the run.</x:v>
      </x:c>
      <x:c r="D53" s="3" t="str">
        <x:v>PLAN-10</x:v>
      </x:c>
      <x:c r="E53" s="3" t="str">
        <x:v>User roadmap</x:v>
      </x:c>
    </x:row>
    <x:row r="54" ht="105" customHeight="1">
      <x:c r="A54" s="3" t="str">
        <x:v>PLAN-12</x:v>
      </x:c>
      <x:c r="B54" s="3" t="str">
        <x:v>Support numeric selections for trades, wagers and allocation events.</x:v>
      </x:c>
      <x:c r="C54" s="3" t="str">
        <x:v>Minimum, maximum and step are enforced on the server. The player cannot spend more resources than owned.</x:v>
      </x:c>
      <x:c r="D54" s="3" t="str">
        <x:v>PLAN-10, DEC-05</x:v>
      </x:c>
      <x:c r="E54" s="3" t="str">
        <x:v>User roadmap</x:v>
      </x:c>
    </x:row>
    <x:row r="55" ht="105" customHeight="1">
      <x:c r="A55" s="3" t="str">
        <x:v>PLAN-13</x:v>
      </x:c>
      <x:c r="B55" s="3" t="str">
        <x:v>Support multiple-choice quizzes and small puzzles with defined correct outcomes and failure rules.</x:v>
      </x:c>
      <x:c r="C55" s="3" t="str">
        <x:v>Question/answer pools are versioned. Correct, incorrect, repeat and interrupted attempts are tested.</x:v>
      </x:c>
      <x:c r="D55" s="3" t="str">
        <x:v>PLAN-09, PLAN-10</x:v>
      </x:c>
      <x:c r="E55" s="3" t="str">
        <x:v>User roadmap</x:v>
      </x:c>
    </x:row>
    <x:row r="56" ht="105" customHeight="1">
      <x:c r="A56" s="3" t="str">
        <x:v>PLAN-14</x:v>
      </x:c>
      <x:c r="B56" s="3" t="str">
        <x:v>Offer in-game wagers with explicit costs, possible outcomes and probabilities. No real-money stakes are planned.</x:v>
      </x:c>
      <x:c r="C56" s="3" t="str">
        <x:v>Odds and maximum loss are shown before confirming. Wagers resolve once server-side and cannot duplicate rewards on retry.</x:v>
      </x:c>
      <x:c r="D56" s="3" t="str">
        <x:v>PLAN-10, PLAN-12, DEC-05</x:v>
      </x:c>
      <x:c r="E56" s="3" t="str">
        <x:v>User roadmap</x:v>
      </x:c>
    </x:row>
    <x:row r="57" ht="105" customHeight="1">
      <x:c r="A57" s="3" t="str">
        <x:v>PLAN-15</x:v>
      </x:c>
      <x:c r="B57" s="3" t="str">
        <x:v>Track milestones such as first boss, floor reached, special wins and item/ability discoveries.</x:v>
      </x:c>
      <x:c r="C57" s="3" t="str">
        <x:v>Achievements unlock once from valid server outcomes, persist separately from run resets, and display progress.</x:v>
      </x:c>
      <x:c r="D57" s="3" t="str">
        <x:v>DEC-06, SUG-03</x:v>
      </x:c>
      <x:c r="E57" s="3" t="str">
        <x:v>User roadmap</x:v>
      </x:c>
    </x:row>
    <x:row r="58" ht="105" customHeight="1">
      <x:c r="A58" s="3" t="str">
        <x:v>PLAN-16</x:v>
      </x:c>
      <x:c r="B58" s="3" t="str">
        <x:v>Periodically summon a substitute with Taunt that must be defeated before the boss.</x:v>
      </x:c>
      <x:c r="C58" s="3" t="str">
        <x:v>Substitute lifecycle, summon cap, targeting and death behavior are tested. Summoning cannot create an endless encounter.</x:v>
      </x:c>
      <x:c r="D58" s="3" t="str">
        <x:v>PLAN-21, DEC-02</x:v>
      </x:c>
      <x:c r="E58" s="3" t="str">
        <x:v>User roadmap</x:v>
      </x:c>
    </x:row>
    <x:row r="59" ht="105" customHeight="1">
      <x:c r="A59" s="3" t="str">
        <x:v>PLAN-17</x:v>
      </x:c>
      <x:c r="B59" s="3" t="str">
        <x:v>Add a telegraphed periodic all-enemy attack.</x:v>
      </x:c>
      <x:c r="C59" s="3" t="str">
        <x:v>Cooldown and damage are configurable. All valid enemies are hit once per activation. Counterplay and feedback are visible.</x:v>
      </x:c>
      <x:c r="D59" s="3" t="str">
        <x:v>PLAN-21</x:v>
      </x:c>
      <x:c r="E59" s="3" t="str">
        <x:v>User roadmap</x:v>
      </x:c>
    </x:row>
    <x:row r="60" ht="105" customHeight="1">
      <x:c r="A60" s="3" t="str">
        <x:v>PLAN-18</x:v>
      </x:c>
      <x:c r="B60" s="3" t="str">
        <x:v>Revive by taking a random player unit and using its battle stats plus a boost.</x:v>
      </x:c>
      <x:c r="C60" s="3" t="str">
        <x:v>Define whether the chosen unit leaves battle. Transformation occurs once and original saved player units return afterward.</x:v>
      </x:c>
      <x:c r="D60" s="3" t="str">
        <x:v>PLAN-21, DEC-02</x:v>
      </x:c>
      <x:c r="E60" s="3" t="str">
        <x:v>User roadmap</x:v>
      </x:c>
    </x:row>
    <x:row r="61" ht="105" customHeight="1">
      <x:c r="A61" s="3" t="str">
        <x:v>PLAN-19</x:v>
      </x:c>
      <x:c r="B61" s="3" t="str">
        <x:v>Become immune to an ability after experiencing it once in the battle.</x:v>
      </x:c>
      <x:c r="C61" s="3" t="str">
        <x:v>Specify what counts as an ability and affected effect. First application works, later applications are blocked, and immunity resets.</x:v>
      </x:c>
      <x:c r="D61" s="3" t="str">
        <x:v>PLAN-21, SUG-01, DEC-02</x:v>
      </x:c>
      <x:c r="E61" s="3" t="str">
        <x:v>User roadmap</x:v>
      </x:c>
    </x:row>
    <x:row r="62" ht="105" customHeight="1">
      <x:c r="A62" s="3" t="str">
        <x:v>PLAN-20</x:v>
      </x:c>
      <x:c r="B62" s="3" t="str">
        <x:v>Cycle through Attack, Defense and Speed formes with temporary bonuses.</x:v>
      </x:c>
      <x:c r="C62" s="3" t="str">
        <x:v>Exactly one form is active. Bonuses replace prior-form bonuses and never change saved baseStats.</x:v>
      </x:c>
      <x:c r="D62" s="3" t="str">
        <x:v>PLAN-21</x:v>
      </x:c>
      <x:c r="E62" s="3" t="str">
        <x:v>User roadmap</x:v>
      </x:c>
    </x:row>
    <x:row r="63" ht="105" customHeight="1">
      <x:c r="A63" s="3" t="str">
        <x:v>PLAN-21</x:v>
      </x:c>
      <x:c r="B63" s="3" t="str">
        <x:v>Scale boss battle stats with floor/level bands while preserving clear first-boss difficulty.</x:v>
      </x:c>
      <x:c r="C63" s="3" t="str">
        <x:v>A documented curve, caps and seeded benchmarks exist for each band. Boss identity and stat changes are inspectable.</x:v>
      </x:c>
      <x:c r="D63" s="3" t="str">
        <x:v>SUG-02, DEC-01</x:v>
      </x:c>
      <x:c r="E63" s="3" t="str">
        <x:v>User roadmap</x:v>
      </x:c>
    </x:row>
    <x:row r="64" ht="105" customHeight="1">
      <x:c r="A64" s="3" t="str">
        <x:v>PLAN-22</x:v>
      </x:c>
      <x:c r="B64" s="3" t="str">
        <x:v>Select bosses from floor-band pools with configurable weights and repetition policy.</x:v>
      </x:c>
      <x:c r="C64" s="3" t="str">
        <x:v>Every boss floor has an eligible pool. Weights and boundary floors are tested. No-stage and single-pathway rules remain intact.</x:v>
      </x:c>
      <x:c r="D64" s="3" t="str">
        <x:v>PLAN-21, DEC-01</x:v>
      </x:c>
      <x:c r="E64" s="3" t="str">
        <x:v>User roadmap</x:v>
      </x:c>
    </x:row>
    <x:row r="65" ht="105" customHeight="1">
      <x:c r="A65" s="3" t="str">
        <x:v>PLAN-23</x:v>
      </x:c>
      <x:c r="B65" s="3" t="str">
        <x:v>Centralize floor-band rules for opponent size, eligible characters, passive guarantees, equipment and bosses.</x:v>
      </x:c>
      <x:c r="C65" s="3" t="str">
        <x:v>One configuration governs generation. Every band has valid pools and deterministic boundary tests. Encounter policy is saved at creation.</x:v>
      </x:c>
      <x:c r="D65" s="3" t="str">
        <x:v>DEC-01, SUG-02</x:v>
      </x:c>
      <x:c r="E65" s="3" t="str">
        <x:v>User roadmap</x:v>
      </x:c>
    </x:row>
    <x:row r="66" ht="105" customHeight="1">
      <x:c r="A66" s="3" t="str">
        <x:v>PLAN-24</x:v>
      </x:c>
      <x:c r="B66" s="3" t="str">
        <x:v>Increase ordinary enemy team size at selected progression thresholds.</x:v>
      </x:c>
      <x:c r="C66" s="3" t="str">
        <x:v>All teams fit the UI. Stages with five-slot rules retain explicit behavior. Empty/extra slots cannot silently change the winner.</x:v>
      </x:c>
      <x:c r="D66" s="3" t="str">
        <x:v>PLAN-23, DEC-03</x:v>
      </x:c>
      <x:c r="E66" s="3" t="str">
        <x:v>User roadmap</x:v>
      </x:c>
    </x:row>
    <x:row r="67" ht="105" customHeight="1">
      <x:c r="A67" s="3" t="str">
        <x:v>PLAN-25</x:v>
      </x:c>
      <x:c r="B67" s="3" t="str">
        <x:v>Guarantee a configured number of enemies with implemented battle passives on later floors.</x:v>
      </x:c>
      <x:c r="C67" s="3" t="str">
        <x:v>Count includes only functioning mechanics. Ineligible pools follow a documented fallback and never loop indefinitely.</x:v>
      </x:c>
      <x:c r="D67" s="3" t="str">
        <x:v>PLAN-23, DEC-07</x:v>
      </x:c>
      <x:c r="E67" s="3" t="str">
        <x:v>User roadmap</x:v>
      </x:c>
    </x:row>
    <x:row r="68" ht="105" customHeight="1">
      <x:c r="A68" s="3" t="str">
        <x:v>PLAN-26</x:v>
      </x:c>
      <x:c r="B68" s="3" t="str">
        <x:v>Equip enemy units on later floors using allowed item pools and per-unit limits.</x:v>
      </x:c>
      <x:c r="C68" s="3" t="str">
        <x:v>Generated gear affects combat and is readable before selection. Consumables are not treated as equipment. No player inventory is modified.</x:v>
      </x:c>
      <x:c r="D68" s="3" t="str">
        <x:v>PLAN-23, PLAN-06</x:v>
      </x:c>
      <x:c r="E68" s="3" t="str">
        <x:v>User roadmap</x:v>
      </x:c>
    </x:row>
    <x:row r="69" ht="105" customHeight="1">
      <x:c r="A69" s="3" t="str">
        <x:v>PLAN-27</x:v>
      </x:c>
      <x:c r="B69" s="3" t="str">
        <x:v>Use floor-band eligibility and weights for enemy unit appearances while retaining MAL-based starting teams.</x:v>
      </x:c>
      <x:c r="C69" s="3" t="str">
        <x:v>Eligibility source, favorite ranges and ability requirements are defined. Small collections have a deterministic fallback.</x:v>
      </x:c>
      <x:c r="D69" s="3" t="str">
        <x:v>PLAN-23, DEC-07</x:v>
      </x:c>
      <x:c r="E69" s="3" t="str">
        <x:v>User roadmap</x:v>
      </x:c>
    </x:row>
    <x:row r="70" ht="105" customHeight="1">
      <x:c r="A70" s="3" t="str">
        <x:v>PLAN-28</x:v>
      </x:c>
      <x:c r="B70" s="3" t="str">
        <x:v>Tune the combined floor curve, loss rate, rewards and boss spikes after the new encounter policy works.</x:v>
      </x:c>
      <x:c r="C70" s="3" t="str">
        <x:v>Report median floor reached and encounter win rates for fixed seed sets. Unexpected spikes are corrected before adding more scaling.</x:v>
      </x:c>
      <x:c r="D70" s="3" t="str">
        <x:v>PLAN-21, PLAN-24, PLAN-25, PLAN-26, PLAN-27</x:v>
      </x:c>
      <x:c r="E70" s="3" t="str">
        <x:v>User roadmap</x:v>
      </x:c>
    </x:row>
    <x:row r="71" ht="105" customHeight="1">
      <x:c r="A71" s="3" t="str">
        <x:v>SUG-01</x:v>
      </x:c>
      <x:c r="B71" s="3" t="str">
        <x:v>Give each active timed passive an independent clock instead of relying on a single prioritized cooldown selector.</x:v>
      </x:c>
      <x:c r="C71" s="3" t="str">
        <x:v>A unit with two timed granted abilities activates both. Time stop, death, revive and cooldown reset behavior is deterministic.</x:v>
      </x:c>
      <x:c r="D71" s="3" t="str">
        <x:v>ABILITY-01</x:v>
      </x:c>
      <x:c r="E71" s="3" t="str">
        <x:v>Suggested addition; not approved scope</x:v>
      </x:c>
    </x:row>
    <x:row r="72" ht="105" customHeight="1">
      <x:c r="A72" s="3" t="str">
        <x:v>SUG-02</x:v>
      </x:c>
      <x:c r="B72" s="3" t="str">
        <x:v>Run reproducible encounter batches and report duration, win rate, damage, healing, revives and dominant combinations.</x:v>
      </x:c>
      <x:c r="C72" s="3" t="str">
        <x:v>Same seed/configuration repeats results. Reports show team composition and floor band. Existing mechanics have regression baselines.</x:v>
      </x:c>
      <x:c r="D72" s="3" t="str"/>
      <x:c r="E72" s="3" t="str">
        <x:v>Suggested addition; not approved scope</x:v>
      </x:c>
    </x:row>
    <x:row r="73" ht="105" customHeight="1">
      <x:c r="A73" s="3" t="str">
        <x:v>SUG-03</x:v>
      </x:c>
      <x:c r="B73" s="3" t="str">
        <x:v>Add account identity and durable storage for teams, achievements and run state across browsers.</x:v>
      </x:c>
      <x:c r="C73" s="3" t="str">
        <x:v>Sign-in maps saves to the correct owner. Migration preserves existing data. Authorization prevents accessing another player’s saves.</x:v>
      </x:c>
      <x:c r="D73" s="3" t="str">
        <x:v>DEC-06, DEC-08</x:v>
      </x:c>
      <x:c r="E73" s="3" t="str">
        <x:v>Suggested addition; not approved scope</x:v>
      </x:c>
    </x:row>
    <x:row r="74" ht="105" customHeight="1">
      <x:c r="A74" s="3" t="str">
        <x:v>SUG-04</x:v>
      </x:c>
      <x:c r="B74" s="3" t="str">
        <x:v>Version save formats and migrate older teams/items/encounters as content evolves.</x:v>
      </x:c>
      <x:c r="C74" s="3" t="str">
        <x:v>Old fixtures load safely. Removed content IDs have explicit handling. Failed migrations preserve the original save.</x:v>
      </x:c>
      <x:c r="D74" s="3" t="str">
        <x:v>TECH-02</x:v>
      </x:c>
      <x:c r="E74" s="3" t="str">
        <x:v>Suggested addition; not approved scope</x:v>
      </x:c>
    </x:row>
    <x:row r="75" ht="105" customHeight="1">
      <x:c r="A75" s="3" t="str">
        <x:v>SUG-05</x:v>
      </x:c>
      <x:c r="B75" s="3" t="str">
        <x:v>Verify production saves survive redeploys. Add backup/restore and stale save cleanup appropriate to the host.</x:v>
      </x:c>
      <x:c r="C75" s="3" t="str">
        <x:v>Restart and redeploy retain a sample run. Restore is tested. Backup and retention policy is documented.</x:v>
      </x:c>
      <x:c r="D75" s="3" t="str">
        <x:v>TECH-02, DEC-08</x:v>
      </x:c>
      <x:c r="E75" s="3" t="str">
        <x:v>Suggested addition; not approved scope</x:v>
      </x:c>
    </x:row>
    <x:row r="76" ht="105" customHeight="1">
      <x:c r="A76" s="3" t="str">
        <x:v>SUG-06</x:v>
      </x:c>
      <x:c r="B76" s="3" t="str">
        <x:v>Validate JSON IDs, categories, pools and numeric ranges. Label listed-only passives in game. Move boss metadata to a catalog if useful.</x:v>
      </x:c>
      <x:c r="C76" s="3" t="str">
        <x:v>Invalid catalogs fail validation with a precise message. UI distinguishes previews from active mechanics. Saves retain stable IDs.</x:v>
      </x:c>
      <x:c r="D76" s="3" t="str">
        <x:v>TECH-01</x:v>
      </x:c>
      <x:c r="E76" s="3" t="str">
        <x:v>Suggested addition; not approved scope</x:v>
      </x:c>
    </x:row>
    <x:row r="77" ht="105" customHeight="1">
      <x:c r="A77" s="3" t="str">
        <x:v>SUG-07</x:v>
      </x:c>
      <x:c r="B77" s="3" t="str">
        <x:v>Show temporary stats, status duration, current targets and cause of death/revival in an optional detailed log.</x:v>
      </x:c>
      <x:c r="C77" s="3" t="str">
        <x:v>Base and effective stats are distinguishable. Players can inspect why a unit died without cluttering compact battle cards.</x:v>
      </x:c>
      <x:c r="D77" s="3" t="str">
        <x:v>SUG-01</x:v>
      </x:c>
      <x:c r="E77" s="3" t="str">
        <x:v>Suggested addition; not approved scope</x:v>
      </x:c>
    </x:row>
    <x:row r="78" ht="105" customHeight="1">
      <x:c r="A78" s="3" t="str">
        <x:v>SUG-08</x:v>
      </x:c>
      <x:c r="B78" s="3" t="str">
        <x:v>Exercise drag/drop alternatives, keyboard dialogs, portrait overlays, hidden-tab catch-up and reload during each run state.</x:v>
      </x:c>
      <x:c r="C78" s="3" t="str">
        <x:v>Touch equipment selection works. Dialog focus is usable. Reload cannot lose rewards, charge lives twice or regenerate the selected pathway.</x:v>
      </x:c>
      <x:c r="D78" s="3" t="str">
        <x:v>EVENT-01, BATTLE-02</x:v>
      </x:c>
      <x:c r="E78" s="3" t="str">
        <x:v>Suggested addition; not approved scope</x:v>
      </x:c>
    </x:row>
    <x:row r="79" ht="105" customHeight="1">
      <x:c r="A79" s="3" t="str">
        <x:v>SUG-09</x:v>
      </x:c>
      <x:c r="B79" s="3" t="str">
        <x:v>Track upstream errors, request latency and import completion. Keep retries bounded and explain stale/unavailable data.</x:v>
      </x:c>
      <x:c r="C79" s="3" t="str">
        <x:v>Provider failures do not erase a saved team. Import status exposes actionable failures and does not stall indefinitely.</x:v>
      </x:c>
      <x:c r="D79" s="3" t="str">
        <x:v>CORE-03</x:v>
      </x:c>
      <x:c r="E79" s="3" t="str">
        <x:v>Suggested addition; not approved scope</x:v>
      </x:c>
    </x:row>
    <x:row r="80" ht="105" customHeight="1">
      <x:c r="A80" s="3" t="str">
        <x:v>SUG-10</x:v>
      </x:c>
      <x:c r="B80" s="3" t="str">
        <x:v>Update README and UI notes that still say passives are all previews, encounters reset on reload, or that MALchups only uses FIGHT.</x:v>
      </x:c>
      <x:c r="C80" s="3" t="str">
        <x:v>Descriptions match implemented behavior and clearly name remaining limits.</x:v>
      </x:c>
      <x:c r="D80" s="3" t="str">
        <x:v>ABILITY-01, MATCH-02, EVENT-01</x:v>
      </x:c>
      <x:c r="E80" s="3" t="str">
        <x:v>Suggested addition; not approved scope</x:v>
      </x:c>
    </x:row>
    <x:row r="81" ht="105" customHeight="1">
      <x:c r="A81" s="3" t="str">
        <x:v>SUG-11</x:v>
      </x:c>
      <x:c r="B81" s="3" t="str">
        <x:v>Design character level growth separately from original rolled stats. Decide how rerolls and transformations inherit progress.</x:v>
      </x:c>
      <x:c r="C81" s="3" t="str">
        <x:v>Growth has its own saved fields and calculations. Original baseStats remain intact. No level formulas are added before design approval.</x:v>
      </x:c>
      <x:c r="D81" s="3" t="str">
        <x:v>DEC-09</x:v>
      </x:c>
      <x:c r="E81" s="3" t="str">
        <x:v>Suggested addition; not approved scope</x:v>
      </x:c>
    </x:row>
    <x:row r="82" ht="105" customHeight="1">
      <x:c r="A82" s="3" t="str">
        <x:v>SUG-12</x:v>
      </x:c>
      <x:c r="B82" s="3" t="str">
        <x:v>Explore battling other users’ saved teams with fair snapshots and reproducible server results.</x:v>
      </x:c>
      <x:c r="C82" s="3" t="str">
        <x:v>Ownership, match rules, versioning and fairness are designed before public matchmaking. No canonical power scaling is used for base stats.</x:v>
      </x:c>
      <x:c r="D82" s="3" t="str">
        <x:v>SUG-03, SUG-04, PLAN-28</x:v>
      </x:c>
      <x:c r="E82" s="3" t="str">
        <x:v>Suggested addition; not approved scope</x:v>
      </x:c>
    </x:row>
  </x:sheetData>
  <x:mergeCells>
    <x:mergeCell ref="A2:E2"/>
    <x:mergeCell ref="A4:E4"/>
  </x:mergeCells>
  <x:pageMargins left="0.7" right="0.7" top="0.75" bottom="0.75" header="0.3" footer="0.3"/>
  <x:tableParts count="1">
    <x:tablePart xmlns:r="http://schemas.openxmlformats.org/officeDocument/2006/relationships" r:id="R36175cfab2614d0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.880000114440918" hidden="0" customWidth="1"/>
    <x:col min="2" max="2" width="13.130000114440918" hidden="0" customWidth="1"/>
    <x:col min="3" max="3" width="44.380001068115234" hidden="0" customWidth="1"/>
    <x:col min="4" max="4" width="21.25" hidden="0" customWidth="1"/>
    <x:col min="5" max="5" width="68.75" hidden="0" customWidth="1"/>
    <x:col min="6" max="6" width="43.130001068115234" hidden="0" customWidth="1"/>
  </x:cols>
  <x:sheetData>
    <x:row r="1" ht="10" customHeight="1">
      <x:c r="A1" s="3"/>
      <x:c r="B1" s="3"/>
      <x:c r="C1" s="3"/>
      <x:c r="D1" s="3"/>
      <x:c r="E1" s="3"/>
      <x:c r="F1" s="3"/>
    </x:row>
    <x:row r="2" ht="32" customHeight="1">
      <x:c r="A2" s="7" t="str">
        <x:v>Current content inventory</x:v>
      </x:c>
      <x:c r="B2" s="3"/>
      <x:c r="C2" s="3"/>
      <x:c r="D2" s="3"/>
      <x:c r="E2" s="3"/>
      <x:c r="F2" s="3"/>
    </x:row>
    <x:row r="3" ht="30" customHeight="1">
      <x:c r="A3" s="8"/>
      <x:c r="B3" s="8"/>
      <x:c r="C3" s="8"/>
      <x:c r="D3" s="8"/>
      <x:c r="E3" s="8"/>
      <x:c r="F3" s="8"/>
    </x:row>
    <x:row r="4" ht="30" customHeight="1">
      <x:c r="A4" s="3" t="str">
        <x:v>Descriptions and mechanics are tracked separately. Boss abilities are previews. Add content through stable IDs and implement its behavior separately.</x:v>
      </x:c>
      <x:c r="B4" s="3"/>
      <x:c r="C4" s="3"/>
      <x:c r="D4" s="3"/>
      <x:c r="E4" s="3"/>
      <x:c r="F4" s="3"/>
    </x:row>
    <x:row r="5" ht="30" customHeight="1">
      <x:c r="A5" s="3"/>
      <x:c r="B5" s="3"/>
      <x:c r="C5" s="3"/>
      <x:c r="D5" s="3"/>
      <x:c r="E5" s="3"/>
      <x:c r="F5" s="3"/>
    </x:row>
    <x:row r="6" ht="32" customHeight="1">
      <x:c r="A6" s="6" t="str">
        <x:v>Category</x:v>
      </x:c>
      <x:c r="B6" s="6" t="str">
        <x:v>Stable ID</x:v>
      </x:c>
      <x:c r="C6" s="6" t="str">
        <x:v>Name / ability</x:v>
      </x:c>
      <x:c r="D6" s="6" t="str">
        <x:v>Implementation</x:v>
      </x:c>
      <x:c r="E6" s="6" t="str">
        <x:v>Description</x:v>
      </x:c>
      <x:c r="F6" s="6" t="str">
        <x:v>Evidence</x:v>
      </x:c>
    </x:row>
    <x:row r="7" ht="78" customHeight="1">
      <x:c r="A7" s="3" t="str">
        <x:v>Ability</x:v>
      </x:c>
      <x:c r="B7" s="3" t="str">
        <x:v>17</x:v>
      </x:c>
      <x:c r="C7" s="3" t="str">
        <x:v>Uzumaki, Naruto — Shadow Clones</x:v>
      </x:c>
      <x:c r="D7" s="3" t="str">
        <x:v>Description only</x:v>
      </x:c>
      <x:c r="E7" s="3" t="str">
        <x:v>Summons a copy of Naruto. The clone cannot create more clones.</x:v>
      </x:c>
      <x:c r="F7" s="3" t="str">
        <x:v>src/lib/data/abilities.json; src/lib/battle-abilities.ts</x:v>
      </x:c>
    </x:row>
    <x:row r="8" ht="78" customHeight="1">
      <x:c r="A8" s="3" t="str">
        <x:v>Ability</x:v>
      </x:c>
      <x:c r="B8" s="3" t="str">
        <x:v>246</x:v>
      </x:c>
      <x:c r="C8" s="3" t="str">
        <x:v>Son, Gokuu — Super Saiyan</x:v>
      </x:c>
      <x:c r="D8" s="3" t="str">
        <x:v>Description only</x:v>
      </x:c>
      <x:c r="E8" s="3" t="str">
        <x:v>When HP falls to half or below, gains an attack boost for the rest of the battle.</x:v>
      </x:c>
      <x:c r="F8" s="3" t="str">
        <x:v>src/lib/data/abilities.json; src/lib/battle-abilities.ts</x:v>
      </x:c>
    </x:row>
    <x:row r="9" ht="78" customHeight="1">
      <x:c r="A9" s="3" t="str">
        <x:v>Ability</x:v>
      </x:c>
      <x:c r="B9" s="3" t="str">
        <x:v>913</x:v>
      </x:c>
      <x:c r="C9" s="3" t="str">
        <x:v>Vegeta — Zenkai Boost</x:v>
      </x:c>
      <x:c r="D9" s="3" t="str">
        <x:v>Description only</x:v>
      </x:c>
      <x:c r="E9" s="3" t="str">
        <x:v>Gains a permanent stat boost after HP falls to 10% or below.</x:v>
      </x:c>
      <x:c r="F9" s="3" t="str">
        <x:v>src/lib/data/abilities.json; src/lib/battle-abilities.ts</x:v>
      </x:c>
    </x:row>
    <x:row r="10" ht="78" customHeight="1">
      <x:c r="A10" s="3" t="str">
        <x:v>Ability</x:v>
      </x:c>
      <x:c r="B10" s="3" t="str">
        <x:v>40</x:v>
      </x:c>
      <x:c r="C10" s="3" t="str">
        <x:v>Monkey D., Luffy — Gear 5</x:v>
      </x:c>
      <x:c r="D10" s="3" t="str">
        <x:v>Description only</x:v>
      </x:c>
      <x:c r="E10" s="3" t="str">
        <x:v>Temporarily reflects incoming attacks back at their attackers.</x:v>
      </x:c>
      <x:c r="F10" s="3" t="str">
        <x:v>src/lib/data/abilities.json; src/lib/battle-abilities.ts</x:v>
      </x:c>
    </x:row>
    <x:row r="11" ht="78" customHeight="1">
      <x:c r="A11" s="3" t="str">
        <x:v>Ability</x:v>
      </x:c>
      <x:c r="B11" s="3" t="str">
        <x:v>5</x:v>
      </x:c>
      <x:c r="C11" s="3" t="str">
        <x:v>Kurosaki, Ichigo — Getsuga Tenshou</x:v>
      </x:c>
      <x:c r="D11" s="3" t="str">
        <x:v>Description only</x:v>
      </x:c>
      <x:c r="E11" s="3" t="str">
        <x:v>Periodically unleashes an empowered attack.</x:v>
      </x:c>
      <x:c r="F11" s="3" t="str">
        <x:v>src/lib/data/abilities.json; src/lib/battle-abilities.ts</x:v>
      </x:c>
    </x:row>
    <x:row r="12" ht="78" customHeight="1">
      <x:c r="A12" s="3" t="str">
        <x:v>Ability</x:v>
      </x:c>
      <x:c r="B12" s="3" t="str">
        <x:v>417</x:v>
      </x:c>
      <x:c r="C12" s="3" t="str">
        <x:v>Lamperouge, Lelouch — Geass</x:v>
      </x:c>
      <x:c r="D12" s="3" t="str">
        <x:v>Description only</x:v>
      </x:c>
      <x:c r="E12" s="3" t="str">
        <x:v>Temporarily forces a random enemy to attack their own team.</x:v>
      </x:c>
      <x:c r="F12" s="3" t="str">
        <x:v>src/lib/data/abilities.json; src/lib/battle-abilities.ts</x:v>
      </x:c>
    </x:row>
    <x:row r="13" ht="78" customHeight="1">
      <x:c r="A13" s="3" t="str">
        <x:v>Ability</x:v>
      </x:c>
      <x:c r="B13" s="3" t="str">
        <x:v>4003</x:v>
      </x:c>
      <x:c r="C13" s="3" t="str">
        <x:v>Kuujou, Joutarou — Star Platinum: The World</x:v>
      </x:c>
      <x:c r="D13" s="3" t="str">
        <x:v>Description only</x:v>
      </x:c>
      <x:c r="E13" s="3" t="str">
        <x:v>Stops all other units, including allies, for a short time. Only Joutarou can attack during the time stop.</x:v>
      </x:c>
      <x:c r="F13" s="3" t="str">
        <x:v>src/lib/data/abilities.json; src/lib/battle-abilities.ts</x:v>
      </x:c>
    </x:row>
    <x:row r="14" ht="78" customHeight="1">
      <x:c r="A14" s="3" t="str">
        <x:v>Ability</x:v>
      </x:c>
      <x:c r="B14" s="3" t="str">
        <x:v>4004</x:v>
      </x:c>
      <x:c r="C14" s="3" t="str">
        <x:v>Brando, Dio — The World</x:v>
      </x:c>
      <x:c r="D14" s="3" t="str">
        <x:v>Mechanic implemented</x:v>
      </x:c>
      <x:c r="E14" s="3" t="str">
        <x:v>Stops all other units, including allies, for a short time. Only Dio can attack during the time stop.</x:v>
      </x:c>
      <x:c r="F14" s="3" t="str">
        <x:v>src/lib/data/abilities.json; src/lib/battle-abilities.ts</x:v>
      </x:c>
    </x:row>
    <x:row r="15" ht="78" customHeight="1">
      <x:c r="A15" s="3" t="str">
        <x:v>Ability</x:v>
      </x:c>
      <x:c r="B15" s="3" t="str">
        <x:v>38005</x:v>
      </x:c>
      <x:c r="C15" s="3" t="str">
        <x:v>Akemi, Homura — Reset</x:v>
      </x:c>
      <x:c r="D15" s="3" t="str">
        <x:v>Description only</x:v>
      </x:c>
      <x:c r="E15" s="3" t="str">
        <x:v>Resets the battle to its initial state the first time the team loses.</x:v>
      </x:c>
      <x:c r="F15" s="3" t="str">
        <x:v>src/lib/data/abilities.json; src/lib/battle-abilities.ts</x:v>
      </x:c>
    </x:row>
    <x:row r="16" ht="78" customHeight="1">
      <x:c r="A16" s="3" t="str">
        <x:v>Ability</x:v>
      </x:c>
      <x:c r="B16" s="3" t="str">
        <x:v>118735</x:v>
      </x:c>
      <x:c r="C16" s="3" t="str">
        <x:v>Natsuki, Subaru — Reset</x:v>
      </x:c>
      <x:c r="D16" s="3" t="str">
        <x:v>Description only</x:v>
      </x:c>
      <x:c r="E16" s="3" t="str">
        <x:v>Resets the battle to its initial state the first time the team loses.</x:v>
      </x:c>
      <x:c r="F16" s="3" t="str">
        <x:v>src/lib/data/abilities.json; src/lib/battle-abilities.ts</x:v>
      </x:c>
    </x:row>
    <x:row r="17" ht="78" customHeight="1">
      <x:c r="A17" s="3" t="str">
        <x:v>Ability</x:v>
      </x:c>
      <x:c r="B17" s="3" t="str">
        <x:v>35252</x:v>
      </x:c>
      <x:c r="C17" s="3" t="str">
        <x:v>Okabe, Rintarou — Reset</x:v>
      </x:c>
      <x:c r="D17" s="3" t="str">
        <x:v>Description only</x:v>
      </x:c>
      <x:c r="E17" s="3" t="str">
        <x:v>Resets the battle to its initial state the first time the team loses.</x:v>
      </x:c>
      <x:c r="F17" s="3" t="str">
        <x:v>src/lib/data/abilities.json; src/lib/battle-abilities.ts</x:v>
      </x:c>
    </x:row>
    <x:row r="18" ht="78" customHeight="1">
      <x:c r="A18" s="3" t="str">
        <x:v>Ability</x:v>
      </x:c>
      <x:c r="B18" s="3" t="str">
        <x:v>2473</x:v>
      </x:c>
      <x:c r="C18" s="3" t="str">
        <x:v>Satoshi — I Choose You</x:v>
      </x:c>
      <x:c r="D18" s="3" t="str">
        <x:v>Description only</x:v>
      </x:c>
      <x:c r="E18" s="3" t="str">
        <x:v>Summons Pikachu to the team.</x:v>
      </x:c>
      <x:c r="F18" s="3" t="str">
        <x:v>src/lib/data/abilities.json; src/lib/battle-abilities.ts</x:v>
      </x:c>
    </x:row>
    <x:row r="19" ht="78" customHeight="1">
      <x:c r="A19" s="3" t="str">
        <x:v>Ability</x:v>
      </x:c>
      <x:c r="B19" s="3" t="str">
        <x:v>7035</x:v>
      </x:c>
      <x:c r="C19" s="3" t="str">
        <x:v>Red — I Choose You</x:v>
      </x:c>
      <x:c r="D19" s="3" t="str">
        <x:v>Description only</x:v>
      </x:c>
      <x:c r="E19" s="3" t="str">
        <x:v>Summons Pikachu to the team.</x:v>
      </x:c>
      <x:c r="F19" s="3" t="str">
        <x:v>src/lib/data/abilities.json; src/lib/battle-abilities.ts</x:v>
      </x:c>
    </x:row>
    <x:row r="20" ht="78" customHeight="1">
      <x:c r="A20" s="3" t="str">
        <x:v>Ability</x:v>
      </x:c>
      <x:c r="B20" s="3" t="str">
        <x:v>162150</x:v>
      </x:c>
      <x:c r="C20" s="3" t="str">
        <x:v>Oguri Cap — Festive Miracle</x:v>
      </x:c>
      <x:c r="D20" s="3" t="str">
        <x:v>Description only</x:v>
      </x:c>
      <x:c r="E20" s="3" t="str">
        <x:v>After 3 skils have been activated on either team, gain a massive speed boost.</x:v>
      </x:c>
      <x:c r="F20" s="3" t="str">
        <x:v>src/lib/data/abilities.json; src/lib/battle-abilities.ts</x:v>
      </x:c>
    </x:row>
    <x:row r="21" ht="78" customHeight="1">
      <x:c r="A21" s="3" t="str">
        <x:v>Ability</x:v>
      </x:c>
      <x:c r="B21" s="3" t="str">
        <x:v>87275</x:v>
      </x:c>
      <x:c r="C21" s="3" t="str">
        <x:v>Kaneki, Ken — I am- a ghoul.</x:v>
      </x:c>
      <x:c r="D21" s="3" t="str">
        <x:v>Mechanic implemented</x:v>
      </x:c>
      <x:c r="E21" s="3" t="str">
        <x:v>Whenever another unit dies, heals 15% of maximum HP and gains +5 Attack for the rest of the battle.</x:v>
      </x:c>
      <x:c r="F21" s="3" t="str">
        <x:v>src/lib/data/abilities.json; src/lib/battle-abilities.ts</x:v>
      </x:c>
    </x:row>
    <x:row r="22" ht="78" customHeight="1">
      <x:c r="A22" s="3" t="str">
        <x:v>Ability</x:v>
      </x:c>
      <x:c r="B22" s="3" t="str">
        <x:v>422</x:v>
      </x:c>
      <x:c r="C22" s="3" t="str">
        <x:v>Guts — Struggler</x:v>
      </x:c>
      <x:c r="D22" s="3" t="str">
        <x:v>Description only</x:v>
      </x:c>
      <x:c r="E22" s="3" t="str">
        <x:v>Continues fighting for a short time after HP reaches zero.</x:v>
      </x:c>
      <x:c r="F22" s="3" t="str">
        <x:v>src/lib/data/abilities.json; src/lib/battle-abilities.ts</x:v>
      </x:c>
    </x:row>
    <x:row r="23" ht="78" customHeight="1">
      <x:c r="A23" s="3" t="str">
        <x:v>Ability</x:v>
      </x:c>
      <x:c r="B23" s="3" t="str">
        <x:v>89</x:v>
      </x:c>
      <x:c r="C23" s="3" t="str">
        <x:v>Ikari, Shinji — Berserk Mode</x:v>
      </x:c>
      <x:c r="D23" s="3" t="str">
        <x:v>Description only</x:v>
      </x:c>
      <x:c r="E23" s="3" t="str">
        <x:v>Continues fighting briefly after taking fatal damage, with boosted stats and a chance to attack allies.</x:v>
      </x:c>
      <x:c r="F23" s="3" t="str">
        <x:v>src/lib/data/abilities.json; src/lib/battle-abilities.ts</x:v>
      </x:c>
    </x:row>
    <x:row r="24" ht="78" customHeight="1">
      <x:c r="A24" s="3" t="str">
        <x:v>Ability</x:v>
      </x:c>
      <x:c r="B24" s="3" t="str">
        <x:v>99</x:v>
      </x:c>
      <x:c r="C24" s="3" t="str">
        <x:v>Yuy, Heero — Self-Destruct</x:v>
      </x:c>
      <x:c r="D24" s="3" t="str">
        <x:v>Description only</x:v>
      </x:c>
      <x:c r="E24" s="3" t="str">
        <x:v>Deals damage to every enemy unit upon death.</x:v>
      </x:c>
      <x:c r="F24" s="3" t="str">
        <x:v>src/lib/data/abilities.json; src/lib/battle-abilities.ts</x:v>
      </x:c>
    </x:row>
    <x:row r="25" ht="78" customHeight="1">
      <x:c r="A25" s="3" t="str">
        <x:v>Ability</x:v>
      </x:c>
      <x:c r="B25" s="3" t="str">
        <x:v>1335</x:v>
      </x:c>
      <x:c r="C25" s="3" t="str">
        <x:v>Ray, Amuro — Last Shooting</x:v>
      </x:c>
      <x:c r="D25" s="3" t="str">
        <x:v>Description only</x:v>
      </x:c>
      <x:c r="E25" s="3" t="str">
        <x:v>When dying, makes a high powered attack at one unit on the enemy team.</x:v>
      </x:c>
      <x:c r="F25" s="3" t="str">
        <x:v>src/lib/data/abilities.json; src/lib/battle-abilities.ts</x:v>
      </x:c>
    </x:row>
    <x:row r="26" ht="78" customHeight="1">
      <x:c r="A26" s="3" t="str">
        <x:v>Ability</x:v>
      </x:c>
      <x:c r="B26" s="3" t="str">
        <x:v>40882</x:v>
      </x:c>
      <x:c r="C26" s="3" t="str">
        <x:v>Yeager, Eren — Rumbling</x:v>
      </x:c>
      <x:c r="D26" s="3" t="str">
        <x:v>Mechanic implemented</x:v>
      </x:c>
      <x:c r="E26" s="3" t="str">
        <x:v>Fills a separate gauge, then deals normal attack damage to all living enemies simultaneously.</x:v>
      </x:c>
      <x:c r="F26" s="3" t="str">
        <x:v>src/lib/data/abilities.json; src/lib/battle-abilities.ts</x:v>
      </x:c>
    </x:row>
    <x:row r="27" ht="78" customHeight="1">
      <x:c r="A27" s="3" t="str">
        <x:v>Ability</x:v>
      </x:c>
      <x:c r="B27" s="3" t="str">
        <x:v>2257</x:v>
      </x:c>
      <x:c r="C27" s="3" t="str">
        <x:v>Simon — Gattai da!</x:v>
      </x:c>
      <x:c r="D27" s="3" t="str">
        <x:v>Description only</x:v>
      </x:c>
      <x:c r="E27" s="3" t="str">
        <x:v>Absorbs all other allied units to become a single empowered unit.</x:v>
      </x:c>
      <x:c r="F27" s="3" t="str">
        <x:v>src/lib/data/abilities.json; src/lib/battle-abilities.ts</x:v>
      </x:c>
    </x:row>
    <x:row r="28" ht="78" customHeight="1">
      <x:c r="A28" s="3" t="str">
        <x:v>Ability</x:v>
      </x:c>
      <x:c r="B28" s="3" t="str">
        <x:v>175198</x:v>
      </x:c>
      <x:c r="C28" s="3" t="str">
        <x:v>Ryoumen, Sukuna — Malevolent Shrine</x:v>
      </x:c>
      <x:c r="D28" s="3" t="str">
        <x:v>Mechanic implemented</x:v>
      </x:c>
      <x:c r="E28" s="3" t="str">
        <x:v>Once per battle, charges a separate gauge for 8 seconds, then unleashes five rapid attacks against all living enemies.</x:v>
      </x:c>
      <x:c r="F28" s="3" t="str">
        <x:v>src/lib/data/abilities.json; src/lib/battle-abilities.ts</x:v>
      </x:c>
    </x:row>
    <x:row r="29" ht="78" customHeight="1">
      <x:c r="A29" s="3" t="str">
        <x:v>Ability</x:v>
      </x:c>
      <x:c r="B29" s="3" t="str">
        <x:v>109929</x:v>
      </x:c>
      <x:c r="C29" s="3" t="str">
        <x:v>Kageyama, Shigeo — 100%</x:v>
      </x:c>
      <x:c r="D29" s="3" t="str">
        <x:v>Description only</x:v>
      </x:c>
      <x:c r="E29" s="3" t="str">
        <x:v>Starts a counter at the beginning of battle. Gains boosted stats when the counter reaches 100.</x:v>
      </x:c>
      <x:c r="F29" s="3" t="str">
        <x:v>src/lib/data/abilities.json; src/lib/battle-abilities.ts</x:v>
      </x:c>
    </x:row>
    <x:row r="30" ht="78" customHeight="1">
      <x:c r="A30" s="3" t="str">
        <x:v>Ability</x:v>
      </x:c>
      <x:c r="B30" s="3" t="str">
        <x:v>124731</x:v>
      </x:c>
      <x:c r="C30" s="3" t="str">
        <x:v>Asta — Anti-Magic</x:v>
      </x:c>
      <x:c r="D30" s="3" t="str">
        <x:v>Description only</x:v>
      </x:c>
      <x:c r="E30" s="3" t="str">
        <x:v>Deals increased attack damage to units from a manually selected set of magic series, for example: Fairy Tail, Mushoku Tensei, Mashle, Overlord, KonoSuba, Puella Magi Madoka Magica, Re:Zero, The Irregular at Magic High School, Frieren: Beyond Journey’s End, and many others.</x:v>
      </x:c>
      <x:c r="F30" s="3" t="str">
        <x:v>src/lib/data/abilities.json; src/lib/battle-abilities.ts</x:v>
      </x:c>
    </x:row>
    <x:row r="31" ht="78" customHeight="1">
      <x:c r="A31" s="3" t="str">
        <x:v>Ability</x:v>
      </x:c>
      <x:c r="B31" s="3" t="str">
        <x:v>170732</x:v>
      </x:c>
      <x:c r="C31" s="3" t="str">
        <x:v>Denji — Chainsaw Heart</x:v>
      </x:c>
      <x:c r="D31" s="3" t="str">
        <x:v>Mechanic implemented</x:v>
      </x:c>
      <x:c r="E31" s="3" t="str">
        <x:v>After dying, revives with 15% of maximum HP when another unit is killed.</x:v>
      </x:c>
      <x:c r="F31" s="3" t="str">
        <x:v>src/lib/data/abilities.json; src/lib/battle-abilities.ts</x:v>
      </x:c>
    </x:row>
    <x:row r="32" ht="78" customHeight="1">
      <x:c r="A32" s="3" t="str">
        <x:v>Ability</x:v>
      </x:c>
      <x:c r="B32" s="3" t="str">
        <x:v>1</x:v>
      </x:c>
      <x:c r="C32" s="3" t="str">
        <x:v>Spiegel, Spike — Bebop Crew</x:v>
      </x:c>
      <x:c r="D32" s="3" t="str">
        <x:v>Description only</x:v>
      </x:c>
      <x:c r="E32" s="3" t="str">
        <x:v>Replaces allied units with members of the Bebop crew, including Edward and Ein.</x:v>
      </x:c>
      <x:c r="F32" s="3" t="str">
        <x:v>src/lib/data/abilities.json; src/lib/battle-abilities.ts</x:v>
      </x:c>
    </x:row>
    <x:row r="33" ht="78" customHeight="1">
      <x:c r="A33" s="3" t="str">
        <x:v>Ability</x:v>
      </x:c>
      <x:c r="B33" s="3" t="str">
        <x:v>1374</x:v>
      </x:c>
      <x:c r="C33" s="3" t="str">
        <x:v>Mutou, Yuugi — King of Games</x:v>
      </x:c>
      <x:c r="D33" s="3" t="str">
        <x:v>Description only</x:v>
      </x:c>
      <x:c r="E33" s="3" t="str">
        <x:v>Periodically activates a random effect:
Mirror Force: Reflects damage once.
Swords of Revealing Light: Temporarily prevents the enemy team from attacking.
Dark Magic Curtain: Summons Mahad / Dark Magician as a special allied unit.
Kuriboh: Negates one instance of damage.
Catapult Turtle: Sacrifices one allied unit to damage an enemy.
Monster Reborn: Revives a fallen unit.
Slifer the Sky Dragon: Summons a powerful special unit to the team.</x:v>
      </x:c>
      <x:c r="F33" s="3" t="str">
        <x:v>src/lib/data/abilities.json; src/lib/battle-abilities.ts</x:v>
      </x:c>
    </x:row>
    <x:row r="34" ht="78" customHeight="1">
      <x:c r="A34" s="3" t="str">
        <x:v>Ability</x:v>
      </x:c>
      <x:c r="B34" s="3" t="str">
        <x:v>1375</x:v>
      </x:c>
      <x:c r="C34" s="3" t="str">
        <x:v>Yami Yuugi — King of Games</x:v>
      </x:c>
      <x:c r="D34" s="3" t="str">
        <x:v>Description only</x:v>
      </x:c>
      <x:c r="E34" s="3" t="str">
        <x:v>Periodically activates a random effect:
Mirror Force: Reflects damage once.
Swords of Revealing Light: Temporarily prevents the enemy team from attacking.
Dark Magic Curtain: Summons Mahad / Dark Magician as a special allied unit.
Kuriboh: Negates one instance of damage.
Catapult Turtle: Sacrifices one allied unit to damage an enemy.
Monster Reborn: Revives a fallen unit.
Slifer the Sky Dragon: Summons a powerful special unit to the team.</x:v>
      </x:c>
      <x:c r="F34" s="3" t="str">
        <x:v>src/lib/data/abilities.json; src/lib/battle-abilities.ts</x:v>
      </x:c>
    </x:row>
    <x:row r="35" ht="78" customHeight="1">
      <x:c r="A35" s="3" t="str">
        <x:v>Ability</x:v>
      </x:c>
      <x:c r="B35" s="3" t="str">
        <x:v>2589</x:v>
      </x:c>
      <x:c r="C35" s="3" t="str">
        <x:v>Shima, Tetsuo — Mutation</x:v>
      </x:c>
      <x:c r="D35" s="3" t="str">
        <x:v>Description only</x:v>
      </x:c>
      <x:c r="E35" s="3" t="str">
        <x:v>When dying, absorbs and kills all other allied units to regain HP.</x:v>
      </x:c>
      <x:c r="F35" s="3" t="str">
        <x:v>src/lib/data/abilities.json; src/lib/battle-abilities.ts</x:v>
      </x:c>
    </x:row>
    <x:row r="36" ht="78" customHeight="1">
      <x:c r="A36" s="3" t="str">
        <x:v>Ability</x:v>
      </x:c>
      <x:c r="B36" s="3" t="str">
        <x:v>15</x:v>
      </x:c>
      <x:c r="C36" s="3" t="str">
        <x:v>Makunouchi, Ippo — Dempsey Roll</x:v>
      </x:c>
      <x:c r="D36" s="3" t="str">
        <x:v>Description only</x:v>
      </x:c>
      <x:c r="E36" s="3" t="str">
        <x:v>Can dodge attacks completely, taking no damage. Gains speed after each successful dodge.</x:v>
      </x:c>
      <x:c r="F36" s="3" t="str">
        <x:v>src/lib/data/abilities.json; src/lib/battle-abilities.ts</x:v>
      </x:c>
    </x:row>
    <x:row r="37" ht="78" customHeight="1">
      <x:c r="A37" s="3" t="str">
        <x:v>Ability</x:v>
      </x:c>
      <x:c r="B37" s="3" t="str">
        <x:v>136805</x:v>
      </x:c>
      <x:c r="C37" s="3" t="str">
        <x:v>Tachibana, Taki — Musubi</x:v>
      </x:c>
      <x:c r="D37" s="3" t="str">
        <x:v>Description only</x:v>
      </x:c>
      <x:c r="E37" s="3" t="str">
        <x:v>Swaps places with a random enemy unit for the remainder of the battle.</x:v>
      </x:c>
      <x:c r="F37" s="3" t="str">
        <x:v>src/lib/data/abilities.json; src/lib/battle-abilities.ts</x:v>
      </x:c>
    </x:row>
    <x:row r="38" ht="78" customHeight="1">
      <x:c r="A38" s="3" t="str">
        <x:v>Ability</x:v>
      </x:c>
      <x:c r="B38" s="3" t="str">
        <x:v>137467</x:v>
      </x:c>
      <x:c r="C38" s="3" t="str">
        <x:v>Miyamizu, Mitsuha — Musubi</x:v>
      </x:c>
      <x:c r="D38" s="3" t="str">
        <x:v>Description only</x:v>
      </x:c>
      <x:c r="E38" s="3" t="str">
        <x:v>Swaps places with a random enemy unit for the remainder of the battle.</x:v>
      </x:c>
      <x:c r="F38" s="3" t="str">
        <x:v>src/lib/data/abilities.json; src/lib/battle-abilities.ts</x:v>
      </x:c>
    </x:row>
    <x:row r="39" ht="78" customHeight="1">
      <x:c r="A39" s="3" t="str">
        <x:v>Ability</x:v>
      </x:c>
      <x:c r="B39" s="3" t="str">
        <x:v>163847</x:v>
      </x:c>
      <x:c r="C39" s="3" t="str">
        <x:v>Itadori, Yuuji — Black Flash</x:v>
      </x:c>
      <x:c r="D39" s="3" t="str">
        <x:v>Mechanic implemented</x:v>
      </x:c>
      <x:c r="E39" s="3" t="str">
        <x:v>Attacks have a 30% chance to deal double damage.</x:v>
      </x:c>
      <x:c r="F39" s="3" t="str">
        <x:v>src/lib/data/abilities.json; src/lib/battle-abilities.ts</x:v>
      </x:c>
    </x:row>
    <x:row r="40" ht="78" customHeight="1">
      <x:c r="A40" s="3" t="str">
        <x:v>Ability</x:v>
      </x:c>
      <x:c r="B40" s="3" t="str">
        <x:v>80</x:v>
      </x:c>
      <x:c r="C40" s="3" t="str">
        <x:v>Yagami, Light — Death Note</x:v>
      </x:c>
      <x:c r="D40" s="3" t="str">
        <x:v>Description only</x:v>
      </x:c>
      <x:c r="E40" s="3" t="str">
        <x:v>Does not attack. After a delay, the strongest enemy unit dies.</x:v>
      </x:c>
      <x:c r="F40" s="3" t="str">
        <x:v>src/lib/data/abilities.json; src/lib/battle-abilities.ts</x:v>
      </x:c>
    </x:row>
    <x:row r="41" ht="78" customHeight="1">
      <x:c r="A41" s="3" t="str">
        <x:v>Ability</x:v>
      </x:c>
      <x:c r="B41" s="3" t="str">
        <x:v>71</x:v>
      </x:c>
      <x:c r="C41" s="3" t="str">
        <x:v>Lawliet, L — Lind L. Taylor</x:v>
      </x:c>
      <x:c r="D41" s="3" t="str">
        <x:v>Description only</x:v>
      </x:c>
      <x:c r="E41" s="3" t="str">
        <x:v>The first allied unit about to die from an attack blocks that attack and becomes briefly invulnerable.</x:v>
      </x:c>
      <x:c r="F41" s="3" t="str">
        <x:v>src/lib/data/abilities.json; src/lib/battle-abilities.ts</x:v>
      </x:c>
    </x:row>
    <x:row r="42" ht="78" customHeight="1">
      <x:c r="A42" s="3" t="str">
        <x:v>Ability</x:v>
      </x:c>
      <x:c r="B42" s="3" t="str">
        <x:v>72921</x:v>
      </x:c>
      <x:c r="C42" s="3" t="str">
        <x:v>Meliodas — Full Counter</x:v>
      </x:c>
      <x:c r="D42" s="3" t="str">
        <x:v>Description only</x:v>
      </x:c>
      <x:c r="E42" s="3" t="str">
        <x:v>Reflects the first ability that targets this unit back to its source.</x:v>
      </x:c>
      <x:c r="F42" s="3" t="str">
        <x:v>src/lib/data/abilities.json; src/lib/battle-abilities.ts</x:v>
      </x:c>
    </x:row>
    <x:row r="43" ht="78" customHeight="1">
      <x:c r="A43" s="3" t="str">
        <x:v>Ability</x:v>
      </x:c>
      <x:c r="B43" s="3" t="str">
        <x:v>16412</x:v>
      </x:c>
      <x:c r="C43" s="3" t="str">
        <x:v>Endou, Mamoru — God Hand</x:v>
      </x:c>
      <x:c r="D43" s="3" t="str">
        <x:v>Mechanic implemented</x:v>
      </x:c>
      <x:c r="E43" s="3" t="str">
        <x:v>Has Taunt, drawing single-target enemy attacks, and takes 25% less incoming damage.</x:v>
      </x:c>
      <x:c r="F43" s="3" t="str">
        <x:v>src/lib/data/abilities.json; src/lib/battle-abilities.ts</x:v>
      </x:c>
    </x:row>
    <x:row r="44" ht="78" customHeight="1">
      <x:c r="A44" s="3" t="str">
        <x:v>Ability</x:v>
      </x:c>
      <x:c r="B44" s="3" t="str">
        <x:v>177491</x:v>
      </x:c>
      <x:c r="C44" s="3" t="str">
        <x:v>Isagi, Yoichi — Metavision</x:v>
      </x:c>
      <x:c r="D44" s="3" t="str">
        <x:v>Description only</x:v>
      </x:c>
      <x:c r="E44" s="3" t="str">
        <x:v>Predicts and prevents the first enemy ability activation.</x:v>
      </x:c>
      <x:c r="F44" s="3" t="str">
        <x:v>src/lib/data/abilities.json; src/lib/battle-abilities.ts</x:v>
      </x:c>
    </x:row>
    <x:row r="45" ht="78" customHeight="1">
      <x:c r="A45" s="3" t="str">
        <x:v>Ability</x:v>
      </x:c>
      <x:c r="B45" s="3" t="str">
        <x:v>203839</x:v>
      </x:c>
      <x:c r="C45" s="3" t="str">
        <x:v>Hakari, Kinji — Idle Death Gamble</x:v>
      </x:c>
      <x:c r="D45" s="3" t="str">
        <x:v>Description only</x:v>
      </x:c>
      <x:c r="E45" s="3" t="str">
        <x:v>Periodically rolls three numbers. Rolling three identical numbers restores this unit to full HP.</x:v>
      </x:c>
      <x:c r="F45" s="3" t="str">
        <x:v>src/lib/data/abilities.json; src/lib/battle-abilities.ts</x:v>
      </x:c>
    </x:row>
    <x:row r="46" ht="78" customHeight="1">
      <x:c r="A46" s="3" t="str">
        <x:v>Ability</x:v>
      </x:c>
      <x:c r="B46" s="3" t="str">
        <x:v>5578</x:v>
      </x:c>
      <x:c r="C46" s="3" t="str">
        <x:v>Itou, Kaiji — Ultimate Survivor</x:v>
      </x:c>
      <x:c r="D46" s="3" t="str">
        <x:v>Description only</x:v>
      </x:c>
      <x:c r="E46" s="3" t="str">
        <x:v>When taking fatal damage, has a chance to survive with 1 HP. This chance decreases each time it succeeds.</x:v>
      </x:c>
      <x:c r="F46" s="3" t="str">
        <x:v>src/lib/data/abilities.json; src/lib/battle-abilities.ts</x:v>
      </x:c>
    </x:row>
    <x:row r="47" ht="78" customHeight="1">
      <x:c r="A47" s="3" t="str">
        <x:v>Ability</x:v>
      </x:c>
      <x:c r="B47" s="3" t="str">
        <x:v>196899</x:v>
      </x:c>
      <x:c r="C47" s="3" t="str">
        <x:v>Takakura, Ken — Turbo Granny</x:v>
      </x:c>
      <x:c r="D47" s="3" t="str">
        <x:v>Mechanic implemented</x:v>
      </x:c>
      <x:c r="E47" s="3" t="str">
        <x:v>Doubles Speed for the first 10 seconds of battle.</x:v>
      </x:c>
      <x:c r="F47" s="3" t="str">
        <x:v>src/lib/data/abilities.json; src/lib/battle-abilities.ts</x:v>
      </x:c>
    </x:row>
    <x:row r="48" ht="78" customHeight="1">
      <x:c r="A48" s="3" t="str">
        <x:v>Ability</x:v>
      </x:c>
      <x:c r="B48" s="3" t="str">
        <x:v>22036</x:v>
      </x:c>
      <x:c r="C48" s="3" t="str">
        <x:v>Araragi, Koyomi — Koyomi Vamp</x:v>
      </x:c>
      <x:c r="D48" s="3" t="str">
        <x:v>Mechanic implemented</x:v>
      </x:c>
      <x:c r="E48" s="3" t="str">
        <x:v>Heals 10% of maximum HP every 4 seconds.</x:v>
      </x:c>
      <x:c r="F48" s="3" t="str">
        <x:v>src/lib/data/abilities.json; src/lib/battle-abilities.ts</x:v>
      </x:c>
    </x:row>
    <x:row r="49" ht="78" customHeight="1">
      <x:c r="A49" s="3" t="str">
        <x:v>Ability</x:v>
      </x:c>
      <x:c r="B49" s="3" t="str">
        <x:v>2511</x:v>
      </x:c>
      <x:c r="C49" s="3" t="str">
        <x:v>Kenshirou — Hokuto Hyakuretsu Ken</x:v>
      </x:c>
      <x:c r="D49" s="3" t="str">
        <x:v>Description only</x:v>
      </x:c>
      <x:c r="E49" s="3" t="str">
        <x:v>After this unit attacks one enemy a certain amount of times, that enemy is guaranteed to die after a short delay.</x:v>
      </x:c>
      <x:c r="F49" s="3" t="str">
        <x:v>src/lib/data/abilities.json; src/lib/battle-abilities.ts</x:v>
      </x:c>
    </x:row>
    <x:row r="50" ht="78" customHeight="1">
      <x:c r="A50" s="3" t="str">
        <x:v>Ability</x:v>
      </x:c>
      <x:c r="B50" s="3" t="str">
        <x:v>134263</x:v>
      </x:c>
      <x:c r="C50" s="3" t="str">
        <x:v>Donato, Marcille — Forbidden Magic</x:v>
      </x:c>
      <x:c r="D50" s="3" t="str">
        <x:v>Mechanic implemented</x:v>
      </x:c>
      <x:c r="E50" s="3" t="str">
        <x:v>Once per battle, revives the first fallen ally at full HP.</x:v>
      </x:c>
      <x:c r="F50" s="3" t="str">
        <x:v>src/lib/data/abilities.json; src/lib/battle-abilities.ts</x:v>
      </x:c>
    </x:row>
    <x:row r="51" ht="78" customHeight="1">
      <x:c r="A51" s="3" t="str">
        <x:v>Ability</x:v>
      </x:c>
      <x:c r="B51" s="3" t="str">
        <x:v>117921</x:v>
      </x:c>
      <x:c r="C51" s="3" t="str">
        <x:v>All Might — One For All</x:v>
      </x:c>
      <x:c r="D51" s="3" t="str">
        <x:v>Description only</x:v>
      </x:c>
      <x:c r="E51" s="3" t="str">
        <x:v>When this unit is rerolled, its replacement inherits a percentage of its stats and gains One For All.</x:v>
      </x:c>
      <x:c r="F51" s="3" t="str">
        <x:v>src/lib/data/abilities.json; src/lib/battle-abilities.ts</x:v>
      </x:c>
    </x:row>
    <x:row r="52" ht="78" customHeight="1">
      <x:c r="A52" s="3" t="str">
        <x:v>Ability</x:v>
      </x:c>
      <x:c r="B52" s="3" t="str">
        <x:v>141358</x:v>
      </x:c>
      <x:c r="C52" s="3" t="str">
        <x:v>All For One — All For One</x:v>
      </x:c>
      <x:c r="D52" s="3" t="str">
        <x:v>Description only</x:v>
      </x:c>
      <x:c r="E52" s="3" t="str">
        <x:v>Gains the abilities of units this character kills.</x:v>
      </x:c>
      <x:c r="F52" s="3" t="str">
        <x:v>src/lib/data/abilities.json; src/lib/battle-abilities.ts</x:v>
      </x:c>
    </x:row>
    <x:row r="53" ht="78" customHeight="1">
      <x:c r="A53" s="3" t="str">
        <x:v>Ability</x:v>
      </x:c>
      <x:c r="B53" s="3" t="str">
        <x:v>18769</x:v>
      </x:c>
      <x:c r="C53" s="3" t="str">
        <x:v>Kuroko, Tetsuya — Misdirection</x:v>
      </x:c>
      <x:c r="D53" s="3" t="str">
        <x:v>Description only</x:v>
      </x:c>
      <x:c r="E53" s="3" t="str">
        <x:v>Cannot be targeted by attacks unless this is the last unit on the team.</x:v>
      </x:c>
      <x:c r="F53" s="3" t="str">
        <x:v>src/lib/data/abilities.json; src/lib/battle-abilities.ts</x:v>
      </x:c>
    </x:row>
    <x:row r="54" ht="78" customHeight="1">
      <x:c r="A54" s="3" t="str">
        <x:v>Ability</x:v>
      </x:c>
      <x:c r="B54" s="3" t="str">
        <x:v>9700</x:v>
      </x:c>
      <x:c r="C54" s="3" t="str">
        <x:v>Fudou, Yuusei — Stardust Dragon</x:v>
      </x:c>
      <x:c r="D54" s="3" t="str">
        <x:v>Description only</x:v>
      </x:c>
      <x:c r="E54" s="3" t="str">
        <x:v>When another allied unit is about to die, temporarily sacrifices this unit’s actions: Yuusei becomes invulnerable and cannot attack. The protected ally cannot die until Yuusei returns to action.</x:v>
      </x:c>
      <x:c r="F54" s="3" t="str">
        <x:v>src/lib/data/abilities.json; src/lib/battle-abilities.ts</x:v>
      </x:c>
    </x:row>
    <x:row r="55" ht="78" customHeight="1">
      <x:c r="A55" s="3" t="str">
        <x:v>Ability</x:v>
      </x:c>
      <x:c r="B55" s="3" t="str">
        <x:v>75216</x:v>
      </x:c>
      <x:c r="C55" s="3" t="str">
        <x:v>Yukihira, Souma — Gotcha Pork Roast</x:v>
      </x:c>
      <x:c r="D55" s="3" t="str">
        <x:v>Description only</x:v>
      </x:c>
      <x:c r="E55" s="3" t="str">
        <x:v>Periodically cooks to fill a cooking gauge. When it fills, heals the ally with the lowest HP and resets the gauge.</x:v>
      </x:c>
      <x:c r="F55" s="3" t="str">
        <x:v>src/lib/data/abilities.json; src/lib/battle-abilities.ts</x:v>
      </x:c>
    </x:row>
    <x:row r="56" ht="78" customHeight="1">
      <x:c r="A56" s="3" t="str">
        <x:v>Ability</x:v>
      </x:c>
      <x:c r="B56" s="3" t="str">
        <x:v>12323</x:v>
      </x:c>
      <x:c r="C56" s="3" t="str">
        <x:v>Izumi, Shinichi — Migi</x:v>
      </x:c>
      <x:c r="D56" s="3" t="str">
        <x:v>Description only</x:v>
      </x:c>
      <x:c r="E56" s="3" t="str">
        <x:v>Strikes twice with each attack.</x:v>
      </x:c>
      <x:c r="F56" s="3" t="str">
        <x:v>src/lib/data/abilities.json; src/lib/battle-abilities.ts</x:v>
      </x:c>
    </x:row>
    <x:row r="57" ht="78" customHeight="1">
      <x:c r="A57" s="3" t="str">
        <x:v>Ability</x:v>
      </x:c>
      <x:c r="B57" s="3" t="str">
        <x:v>140046</x:v>
      </x:c>
      <x:c r="C57" s="3" t="str">
        <x:v>Reg — Incinerator</x:v>
      </x:c>
      <x:c r="D57" s="3" t="str">
        <x:v>Description only</x:v>
      </x:c>
      <x:c r="E57" s="3" t="str">
        <x:v>Delivers powerful attacks that damage multiple enemies. After five attacks, must recharge before attacking again.</x:v>
      </x:c>
      <x:c r="F57" s="3" t="str">
        <x:v>src/lib/data/abilities.json; src/lib/battle-abilities.ts</x:v>
      </x:c>
    </x:row>
    <x:row r="58" ht="78" customHeight="1">
      <x:c r="A58" s="3" t="str">
        <x:v>Ability</x:v>
      </x:c>
      <x:c r="B58" s="3" t="str">
        <x:v>177542</x:v>
      </x:c>
      <x:c r="C58" s="3" t="str">
        <x:v>Adam — Eyes of the Lord</x:v>
      </x:c>
      <x:c r="D58" s="3" t="str">
        <x:v>Description only</x:v>
      </x:c>
      <x:c r="E58" s="3" t="str">
        <x:v>Copies any ability that hits this unit.</x:v>
      </x:c>
      <x:c r="F58" s="3" t="str">
        <x:v>src/lib/data/abilities.json; src/lib/battle-abilities.ts</x:v>
      </x:c>
    </x:row>
    <x:row r="59" ht="78" customHeight="1">
      <x:c r="A59" s="3" t="str">
        <x:v>Ability</x:v>
      </x:c>
      <x:c r="B59" s="3" t="str">
        <x:v>672</x:v>
      </x:c>
      <x:c r="C59" s="3" t="str">
        <x:v>Sakata, Gintoki — Parody</x:v>
      </x:c>
      <x:c r="D59" s="3" t="str">
        <x:v>Description only</x:v>
      </x:c>
      <x:c r="E59" s="3" t="str">
        <x:v>Each battle, gains a random passive ability. Shows the copied ability in the label, for example: Parody (Getsuga Tenshou).</x:v>
      </x:c>
      <x:c r="F59" s="3" t="str">
        <x:v>src/lib/data/abilities.json; src/lib/battle-abilities.ts</x:v>
      </x:c>
    </x:row>
    <x:row r="60" ht="78" customHeight="1">
      <x:c r="A60" s="3" t="str">
        <x:v>Ability</x:v>
      </x:c>
      <x:c r="B60" s="3" t="str">
        <x:v>434</x:v>
      </x:c>
      <x:c r="C60" s="3" t="str">
        <x:v>Onizuka, Eikichi — Driver’s High</x:v>
      </x:c>
      <x:c r="D60" s="3" t="str">
        <x:v>Mechanic implemented</x:v>
      </x:c>
      <x:c r="E60" s="3" t="str">
        <x:v>Increases other allies’ stats by 10% while alive.</x:v>
      </x:c>
      <x:c r="F60" s="3" t="str">
        <x:v>src/lib/data/abilities.json; src/lib/battle-abilities.ts</x:v>
      </x:c>
    </x:row>
    <x:row r="61" ht="78" customHeight="1">
      <x:c r="A61" s="3" t="str">
        <x:v>Ability</x:v>
      </x:c>
      <x:c r="B61" s="3" t="str">
        <x:v>2867</x:v>
      </x:c>
      <x:c r="C61" s="3" t="str">
        <x:v>Kurono, Kei — GANTZ</x:v>
      </x:c>
      <x:c r="D61" s="3" t="str">
        <x:v>Description only</x:v>
      </x:c>
      <x:c r="E61" s="3" t="str">
        <x:v>Permanently gains points for each kill. When a unit dies, spends 100 points to revive them if enough points are available. If a battle ends with no units having died and at least 100 points, spends 100 points on a stat upgrade instead.</x:v>
      </x:c>
      <x:c r="F61" s="3" t="str">
        <x:v>src/lib/data/abilities.json; src/lib/battle-abilities.ts</x:v>
      </x:c>
    </x:row>
    <x:row r="62" ht="78" customHeight="1">
      <x:c r="A62" s="3" t="str">
        <x:v>Ability</x:v>
      </x:c>
      <x:c r="B62" s="3" t="str">
        <x:v>10499</x:v>
      </x:c>
      <x:c r="C62" s="3" t="str">
        <x:v>Hanma, Yuujirou — Strongest Creature on Earth</x:v>
      </x:c>
      <x:c r="D62" s="3" t="str">
        <x:v>Description only</x:v>
      </x:c>
      <x:c r="E62" s="3" t="str">
        <x:v>If this unit does not have the highest Attack, replaces this unit’s Attack with the highest Attack stat across both teams, plus 10.</x:v>
      </x:c>
      <x:c r="F62" s="3" t="str">
        <x:v>src/lib/data/abilities.json; src/lib/battle-abilities.ts</x:v>
      </x:c>
    </x:row>
    <x:row r="63" ht="78" customHeight="1">
      <x:c r="A63" s="3" t="str">
        <x:v>Ability</x:v>
      </x:c>
      <x:c r="B63" s="3" t="str">
        <x:v>132742</x:v>
      </x:c>
      <x:c r="C63" s="3" t="str">
        <x:v>Tokita, Ouma — Advance</x:v>
      </x:c>
      <x:c r="D63" s="3" t="str">
        <x:v>Description only</x:v>
      </x:c>
      <x:c r="E63" s="3" t="str">
        <x:v>After reaching half health, gain a huge stat boost. Dies after a few moments of taking this buff.</x:v>
      </x:c>
      <x:c r="F63" s="3" t="str">
        <x:v>src/lib/data/abilities.json; src/lib/battle-abilities.ts</x:v>
      </x:c>
    </x:row>
    <x:row r="64" ht="78" customHeight="1">
      <x:c r="A64" s="3" t="str">
        <x:v>Ability</x:v>
      </x:c>
      <x:c r="B64" s="3" t="str">
        <x:v>2819</x:v>
      </x:c>
      <x:c r="C64" s="3" t="str">
        <x:v>Fujiwara, Takumi — Tofu Delivery</x:v>
      </x:c>
      <x:c r="D64" s="3" t="str">
        <x:v>Description only</x:v>
      </x:c>
      <x:c r="E64" s="3" t="str">
        <x:v>This unit's speed cannot be reduced.</x:v>
      </x:c>
      <x:c r="F64" s="3" t="str">
        <x:v>src/lib/data/abilities.json; src/lib/battle-abilities.ts</x:v>
      </x:c>
    </x:row>
    <x:row r="65" ht="78" customHeight="1">
      <x:c r="A65" s="3" t="str">
        <x:v>Ability</x:v>
      </x:c>
      <x:c r="B65" s="3" t="str">
        <x:v>28</x:v>
      </x:c>
      <x:c r="C65" s="3" t="str">
        <x:v>Kurapika — Judgment Chain</x:v>
      </x:c>
      <x:c r="D65" s="3" t="str">
        <x:v>Description only</x:v>
      </x:c>
      <x:c r="E65" s="3" t="str">
        <x:v>Targets an enemy unit that has a passive. When that unit's passive activates, instantly kill that unit.</x:v>
      </x:c>
      <x:c r="F65" s="3" t="str">
        <x:v>src/lib/data/abilities.json; src/lib/battle-abilities.ts</x:v>
      </x:c>
    </x:row>
    <x:row r="66" ht="78" customHeight="1">
      <x:c r="A66" s="3" t="str">
        <x:v>Ability</x:v>
      </x:c>
      <x:c r="B66" s="3" t="str">
        <x:v>193067</x:v>
      </x:c>
      <x:c r="C66" s="3" t="str">
        <x:v>Hiiragi, Utena — Magia Baiser</x:v>
      </x:c>
      <x:c r="D66" s="3" t="str">
        <x:v>Description only</x:v>
      </x:c>
      <x:c r="E66" s="3" t="str">
        <x:v>Gains attack against units from series' with the theme 'Mahou Shoujo'.</x:v>
      </x:c>
      <x:c r="F66" s="3" t="str">
        <x:v>src/lib/data/abilities.json; src/lib/battle-abilities.ts</x:v>
      </x:c>
    </x:row>
    <x:row r="67" ht="78" customHeight="1">
      <x:c r="A67" s="3" t="str">
        <x:v>Ability</x:v>
      </x:c>
      <x:c r="B67" s="3" t="str">
        <x:v>135879</x:v>
      </x:c>
      <x:c r="C67" s="3" t="str">
        <x:v>Toga, Himiko — Transform</x:v>
      </x:c>
      <x:c r="D67" s="3" t="str">
        <x:v>Description only</x:v>
      </x:c>
      <x:c r="E67" s="3" t="str">
        <x:v>After attacking an unit that has an passive ability, gains that unit's passive, and appearance.</x:v>
      </x:c>
      <x:c r="F67" s="3" t="str">
        <x:v>src/lib/data/abilities.json; src/lib/battle-abilities.ts</x:v>
      </x:c>
    </x:row>
    <x:row r="68" ht="78" customHeight="1">
      <x:c r="A68" s="3" t="str">
        <x:v>Ability</x:v>
      </x:c>
      <x:c r="B68" s="3" t="str">
        <x:v>65523</x:v>
      </x:c>
      <x:c r="C68" s="3" t="str">
        <x:v>Enoshima, Junko — Execution</x:v>
      </x:c>
      <x:c r="D68" s="3" t="str">
        <x:v>Description only</x:v>
      </x:c>
      <x:c r="E68" s="3" t="str">
        <x:v>Once in a battle, instantly kills an unit that kills another unit.</x:v>
      </x:c>
      <x:c r="F68" s="3" t="str">
        <x:v>src/lib/data/abilities.json; src/lib/battle-abilities.ts</x:v>
      </x:c>
    </x:row>
    <x:row r="69" ht="78" customHeight="1">
      <x:c r="A69" s="3" t="str">
        <x:v>Ability</x:v>
      </x:c>
      <x:c r="B69" s="3" t="str">
        <x:v>36753</x:v>
      </x:c>
      <x:c r="C69" s="3" t="str">
        <x:v>Kumagawa, Misogi — Book Maker</x:v>
      </x:c>
      <x:c r="D69" s="3" t="str">
        <x:v>Description only</x:v>
      </x:c>
      <x:c r="E69" s="3" t="str">
        <x:v>This unit's attack can periodically debuff enemies.</x:v>
      </x:c>
      <x:c r="F69" s="3" t="str">
        <x:v>src/lib/data/abilities.json; src/lib/battle-abilities.ts</x:v>
      </x:c>
    </x:row>
    <x:row r="70" ht="78" customHeight="1">
      <x:c r="A70" s="3" t="str">
        <x:v>Ability</x:v>
      </x:c>
      <x:c r="B70" s="3" t="str">
        <x:v>171437</x:v>
      </x:c>
      <x:c r="C70" s="3" t="str">
        <x:v>Gabimaru — Ninpo: Ascetic Blaze</x:v>
      </x:c>
      <x:c r="D70" s="3" t="str">
        <x:v>Mechanic implemented</x:v>
      </x:c>
      <x:c r="E70" s="3" t="str">
        <x:v>Attacks inflict Burn for 6 seconds: 3% of maximum HP each second. Reapplication refreshes its duration.</x:v>
      </x:c>
      <x:c r="F70" s="3" t="str">
        <x:v>src/lib/data/abilities.json; src/lib/battle-abilities.ts</x:v>
      </x:c>
    </x:row>
    <x:row r="71" ht="78" customHeight="1">
      <x:c r="A71" s="3" t="str">
        <x:v>Item</x:v>
      </x:c>
      <x:c r="B71" s="3" t="str">
        <x:v>merry</x:v>
      </x:c>
      <x:c r="C71" s="3" t="str">
        <x:v>Going Merry</x:v>
      </x:c>
      <x:c r="D71" s="3" t="str">
        <x:v>Implemented</x:v>
      </x:c>
      <x:c r="E71" s="3" t="str">
        <x:v>relic. Permanently adds one team slot, immediately filled with a random character. One per player.</x:v>
      </x:c>
      <x:c r="F71" s="3" t="str">
        <x:v>src/lib/data/items.json; src/lib/server/inventory.ts</x:v>
      </x:c>
    </x:row>
    <x:row r="72" ht="78" customHeight="1">
      <x:c r="A72" s="3" t="str">
        <x:v>Item</x:v>
      </x:c>
      <x:c r="B72" s="3" t="str">
        <x:v>sunny</x:v>
      </x:c>
      <x:c r="C72" s="3" t="str">
        <x:v>Thousand Sunny</x:v>
      </x:c>
      <x:c r="D72" s="3" t="str">
        <x:v>Implemented</x:v>
      </x:c>
      <x:c r="E72" s="3" t="str">
        <x:v>relic. Permanently adds one team slot, immediately filled with a random character. One per player.</x:v>
      </x:c>
      <x:c r="F72" s="3" t="str">
        <x:v>src/lib/data/items.json; src/lib/server/inventory.ts</x:v>
      </x:c>
    </x:row>
    <x:row r="73" ht="78" customHeight="1">
      <x:c r="A73" s="3" t="str">
        <x:v>Item</x:v>
      </x:c>
      <x:c r="B73" s="3" t="str">
        <x:v>nichirin</x:v>
      </x:c>
      <x:c r="C73" s="3" t="str">
        <x:v>Nichirin Sword</x:v>
      </x:c>
      <x:c r="D73" s="3" t="str">
        <x:v>Implemented</x:v>
      </x:c>
      <x:c r="E73" s="3" t="str">
        <x:v>equipment. The equipped unit gains +15 Attack. Multiple copies stack.</x:v>
      </x:c>
      <x:c r="F73" s="3" t="str">
        <x:v>src/lib/data/items.json; src/lib/server/inventory.ts</x:v>
      </x:c>
    </x:row>
    <x:row r="74" ht="78" customHeight="1">
      <x:c r="A74" s="3" t="str">
        <x:v>Item</x:v>
      </x:c>
      <x:c r="B74" s="3" t="str">
        <x:v>whistle</x:v>
      </x:c>
      <x:c r="C74" s="3" t="str">
        <x:v>White Whistle</x:v>
      </x:c>
      <x:c r="D74" s="3" t="str">
        <x:v>Implemented</x:v>
      </x:c>
      <x:c r="E74" s="3" t="str">
        <x:v>equipment. Gives the strongest other ally +5% of every base stat. Uses base BST; ties go to the first ally. Multiple copies stack.</x:v>
      </x:c>
      <x:c r="F74" s="3" t="str">
        <x:v>src/lib/data/items.json; src/lib/server/inventory.ts</x:v>
      </x:c>
    </x:row>
    <x:row r="75" ht="78" customHeight="1">
      <x:c r="A75" s="3" t="str">
        <x:v>Item</x:v>
      </x:c>
      <x:c r="B75" s="3" t="str">
        <x:v>airgear</x:v>
      </x:c>
      <x:c r="C75" s="3" t="str">
        <x:v>Air Gear</x:v>
      </x:c>
      <x:c r="D75" s="3" t="str">
        <x:v>Implemented</x:v>
      </x:c>
      <x:c r="E75" s="3" t="str">
        <x:v>equipment. The equipped unit gains +15 Speed. Multiple copies stack.</x:v>
      </x:c>
      <x:c r="F75" s="3" t="str">
        <x:v>src/lib/data/items.json; src/lib/server/inventory.ts</x:v>
      </x:c>
    </x:row>
    <x:row r="76" ht="78" customHeight="1">
      <x:c r="A76" s="3" t="str">
        <x:v>Item</x:v>
      </x:c>
      <x:c r="B76" s="3" t="str">
        <x:v>finger</x:v>
      </x:c>
      <x:c r="C76" s="3" t="str">
        <x:v>Sukuna’s Finger</x:v>
      </x:c>
      <x:c r="D76" s="3" t="str">
        <x:v>Implemented</x:v>
      </x:c>
      <x:c r="E76" s="3" t="str">
        <x:v>consumable. Replaces a chosen unit with Sukuna, with fresh UR stats totaling 600. Equipment and previous abilities are lost.</x:v>
      </x:c>
      <x:c r="F76" s="3" t="str">
        <x:v>src/lib/data/items.json; src/lib/server/inventory.ts</x:v>
      </x:c>
    </x:row>
    <x:row r="77" ht="78" customHeight="1">
      <x:c r="A77" s="3" t="str">
        <x:v>Item</x:v>
      </x:c>
      <x:c r="B77" s="3" t="str">
        <x:v>arrow</x:v>
      </x:c>
      <x:c r="C77" s="3" t="str">
        <x:v>Stand Arrow</x:v>
      </x:c>
      <x:c r="D77" s="3" t="str">
        <x:v>Implemented</x:v>
      </x:c>
      <x:c r="E77" s="3" t="str">
        <x:v>consumable. 70% chance to grant a new implemented passive; 30% chance to permanently kill the unit, leaving an empty slot. Maximum three passives per unit.</x:v>
      </x:c>
      <x:c r="F77" s="3" t="str">
        <x:v>src/lib/data/items.json; src/lib/server/inventory.ts</x:v>
      </x:c>
    </x:row>
    <x:row r="78" ht="78" customHeight="1">
      <x:c r="A78" s="3" t="str">
        <x:v>Item</x:v>
      </x:c>
      <x:c r="B78" s="3" t="str">
        <x:v>masterball</x:v>
      </x:c>
      <x:c r="C78" s="3" t="str">
        <x:v>Master Ball</x:v>
      </x:c>
      <x:c r="D78" s="3" t="str">
        <x:v>Implemented</x:v>
      </x:c>
      <x:c r="E78" s="3" t="str">
        <x:v>consumable. Replaces a chosen unit with a random UR character from your imported pool, with fresh stats. Requires an eligible UR character.</x:v>
      </x:c>
      <x:c r="F78" s="3" t="str">
        <x:v>src/lib/data/items.json; src/lib/server/inventory.ts</x:v>
      </x:c>
    </x:row>
    <x:row r="79" ht="78" customHeight="1">
      <x:c r="A79" s="3" t="str">
        <x:v>Stage</x:v>
      </x:c>
      <x:c r="B79" s="3" t="str">
        <x:v>punk</x:v>
      </x:c>
      <x:c r="C79" s="3" t="str">
        <x:v>Punk Hazard</x:v>
      </x:c>
      <x:c r="D79" s="3" t="str">
        <x:v>Effect implemented</x:v>
      </x:c>
      <x:c r="E79" s="3" t="str">
        <x:v>One side is continuously burned; the other is continuously chilled.</x:v>
      </x:c>
      <x:c r="F79" s="3" t="str">
        <x:v>src/lib/data/stages.json; src/lib/autobattle.ts</x:v>
      </x:c>
    </x:row>
    <x:row r="80" ht="78" customHeight="1">
      <x:c r="A80" s="3" t="str">
        <x:v>Stage</x:v>
      </x:c>
      <x:c r="B80" s="3" t="str">
        <x:v>budokai</x:v>
      </x:c>
      <x:c r="C80" s="3" t="str">
        <x:v>Tenkaichi Budokai</x:v>
      </x:c>
      <x:c r="D80" s="3" t="str">
        <x:v>Effect implemented</x:v>
      </x:c>
      <x:c r="E80" s="3" t="str">
        <x:v>The first five slots fight simultaneous one-on-one duels. Win three duels to win.</x:v>
      </x:c>
      <x:c r="F80" s="3" t="str">
        <x:v>src/lib/data/stages.json; src/lib/autobattle.ts</x:v>
      </x:c>
    </x:row>
    <x:row r="81" ht="78" customHeight="1">
      <x:c r="A81" s="3" t="str">
        <x:v>Stage</x:v>
      </x:c>
      <x:c r="B81" s="3" t="str">
        <x:v>dangai</x:v>
      </x:c>
      <x:c r="C81" s="3" t="str">
        <x:v>Dangai</x:v>
      </x:c>
      <x:c r="D81" s="3" t="str">
        <x:v>Effect implemented</x:v>
      </x:c>
      <x:c r="E81" s="3" t="str">
        <x:v>The Kōtotsu sweeps through every five seconds, dealing 20% of maximum HP to every unit.</x:v>
      </x:c>
      <x:c r="F81" s="3" t="str">
        <x:v>src/lib/data/stages.json; src/lib/autobattle.ts</x:v>
      </x:c>
    </x:row>
    <x:row r="82" ht="78" customHeight="1">
      <x:c r="A82" s="3" t="str">
        <x:v>Stage</x:v>
      </x:c>
      <x:c r="B82" s="3" t="str">
        <x:v>valley</x:v>
      </x:c>
      <x:c r="C82" s="3" t="str">
        <x:v>Valley of the End</x:v>
      </x:c>
      <x:c r="D82" s="3" t="str">
        <x:v>Effect implemented</x:v>
      </x:c>
      <x:c r="E82" s="3" t="str">
        <x:v>Each team’s strongest member, measured by modified starting stats, fights a deciding duel.</x:v>
      </x:c>
      <x:c r="F82" s="3" t="str">
        <x:v>src/lib/data/stages.json; src/lib/autobattle.ts</x:v>
      </x:c>
    </x:row>
    <x:row r="83" ht="78" customHeight="1">
      <x:c r="A83" s="3" t="str">
        <x:v>Stage</x:v>
      </x:c>
      <x:c r="B83" s="3" t="str">
        <x:v>colosseum</x:v>
      </x:c>
      <x:c r="C83" s="3" t="str">
        <x:v>Colosseum</x:v>
      </x:c>
      <x:c r="D83" s="3" t="str">
        <x:v>Effect implemented</x:v>
      </x:c>
      <x:c r="E83" s="3" t="str">
        <x:v>After six seconds, Silver Chariot Requiem shuffles positions within and between teams. Original teams return after battle.</x:v>
      </x:c>
      <x:c r="F83" s="3" t="str">
        <x:v>src/lib/data/stages.json; src/lib/autobattle.ts</x:v>
      </x:c>
    </x:row>
    <x:row r="84" ht="78" customHeight="1">
      <x:c r="A84" s="3" t="str">
        <x:v>Stage</x:v>
      </x:c>
      <x:c r="B84" s="3" t="str">
        <x:v>hope</x:v>
      </x:c>
      <x:c r="C84" s="3" t="str">
        <x:v>Hope’s Peak Academy</x:v>
      </x:c>
      <x:c r="D84" s="3" t="str">
        <x:v>Effect implemented</x:v>
      </x:c>
      <x:c r="E84" s="3" t="str">
        <x:v>The first unit to kill another unit is immediately executed.</x:v>
      </x:c>
      <x:c r="F84" s="3" t="str">
        <x:v>src/lib/data/stages.json; src/lib/autobattle.ts</x:v>
      </x:c>
    </x:row>
    <x:row r="85" ht="78" customHeight="1">
      <x:c r="A85" s="3" t="str">
        <x:v>Stage</x:v>
      </x:c>
      <x:c r="B85" s="3" t="str">
        <x:v>itomori</x:v>
      </x:c>
      <x:c r="C85" s="3" t="str">
        <x:v>Itomori</x:v>
      </x:c>
      <x:c r="D85" s="3" t="str">
        <x:v>Effect implemented</x:v>
      </x:c>
      <x:c r="E85" s="3" t="str">
        <x:v>Tiamat strikes after 20 seconds. The team with the greater sum of remaining HP percentages wins. Ties favor your team.</x:v>
      </x:c>
      <x:c r="F85" s="3" t="str">
        <x:v>src/lib/data/stages.json; src/lib/autobattle.ts</x:v>
      </x:c>
    </x:row>
    <x:row r="86" ht="78" customHeight="1">
      <x:c r="A86" s="3" t="str">
        <x:v>Stage</x:v>
      </x:c>
      <x:c r="B86" s="3" t="str">
        <x:v>shuchiin</x:v>
      </x:c>
      <x:c r="C86" s="3" t="str">
        <x:v>Shuchiin Academy</x:v>
      </x:c>
      <x:c r="D86" s="3" t="str">
        <x:v>Neutral</x:v>
      </x:c>
      <x:c r="E86" s="3" t="str">
        <x:v>No effect.</x:v>
      </x:c>
      <x:c r="F86" s="3" t="str">
        <x:v>src/lib/data/stages.json; src/lib/autobattle.ts</x:v>
      </x:c>
    </x:row>
    <x:row r="87" ht="78" customHeight="1">
      <x:c r="A87" s="3" t="str">
        <x:v>Stage</x:v>
      </x:c>
      <x:c r="B87" s="3" t="str">
        <x:v>dusseldorf</x:v>
      </x:c>
      <x:c r="C87" s="3" t="str">
        <x:v>Düsseldorf</x:v>
      </x:c>
      <x:c r="D87" s="3" t="str">
        <x:v>Neutral</x:v>
      </x:c>
      <x:c r="E87" s="3" t="str">
        <x:v>No effect.</x:v>
      </x:c>
      <x:c r="F87" s="3" t="str">
        <x:v>src/lib/data/stages.json; src/lib/autobattle.ts</x:v>
      </x:c>
    </x:row>
    <x:row r="88" ht="78" customHeight="1">
      <x:c r="A88" s="3" t="str">
        <x:v>Stage</x:v>
      </x:c>
      <x:c r="B88" s="3" t="str">
        <x:v>ishigami</x:v>
      </x:c>
      <x:c r="C88" s="3" t="str">
        <x:v>Ishigami Village</x:v>
      </x:c>
      <x:c r="D88" s="3" t="str">
        <x:v>Neutral</x:v>
      </x:c>
      <x:c r="E88" s="3" t="str">
        <x:v>No effect.</x:v>
      </x:c>
      <x:c r="F88" s="3" t="str">
        <x:v>src/lib/data/stages.json; src/lib/autobattle.ts</x:v>
      </x:c>
    </x:row>
    <x:row r="89" ht="78" customHeight="1">
      <x:c r="A89" s="3" t="str">
        <x:v>Stage</x:v>
      </x:c>
      <x:c r="B89" s="3" t="str">
        <x:v>tracen</x:v>
      </x:c>
      <x:c r="C89" s="3" t="str">
        <x:v>Tracen Academy</x:v>
      </x:c>
      <x:c r="D89" s="3" t="str">
        <x:v>Neutral</x:v>
      </x:c>
      <x:c r="E89" s="3" t="str">
        <x:v>No effect.</x:v>
      </x:c>
      <x:c r="F89" s="3" t="str">
        <x:v>src/lib/data/stages.json; src/lib/autobattle.ts</x:v>
      </x:c>
    </x:row>
    <x:row r="90" ht="78" customHeight="1">
      <x:c r="A90" s="3" t="str">
        <x:v>Stage</x:v>
      </x:c>
      <x:c r="B90" s="3" t="str">
        <x:v>tootsuki</x:v>
      </x:c>
      <x:c r="C90" s="3" t="str">
        <x:v>Tootsuki Culinary Academy</x:v>
      </x:c>
      <x:c r="D90" s="3" t="str">
        <x:v>Neutral</x:v>
      </x:c>
      <x:c r="E90" s="3" t="str">
        <x:v>No effect.</x:v>
      </x:c>
      <x:c r="F90" s="3" t="str">
        <x:v>src/lib/data/stages.json; src/lib/autobattle.ts</x:v>
      </x:c>
    </x:row>
    <x:row r="91" ht="78" customHeight="1">
      <x:c r="A91" s="3" t="str">
        <x:v>Event</x:v>
      </x:c>
      <x:c r="B91" s="3" t="str">
        <x:v>creature</x:v>
      </x:c>
      <x:c r="C91" s="3" t="str">
        <x:v>A Small White Creature Appears</x:v>
      </x:c>
      <x:c r="D91" s="3" t="str">
        <x:v>Implemented</x:v>
      </x:c>
      <x:c r="E91" s="3" t="str">
        <x:v>Would you like to be a magical girl?</x:v>
      </x:c>
      <x:c r="F91" s="3" t="str">
        <x:v>src/lib/data/events.json; src/lib/server/engine.ts</x:v>
      </x:c>
    </x:row>
    <x:row r="92" ht="78" customHeight="1">
      <x:c r="A92" s="3" t="str">
        <x:v>Event</x:v>
      </x:c>
      <x:c r="B92" s="3" t="str">
        <x:v>marine</x:v>
      </x:c>
      <x:c r="C92" s="3" t="str">
        <x:v>Marine Capture</x:v>
      </x:c>
      <x:c r="D92" s="3" t="str">
        <x:v>Implemented</x:v>
      </x:c>
      <x:c r="E92" s="3" t="str">
        <x:v>A group of Marines are holding someone in public, but you don’t know who. Will you save them?</x:v>
      </x:c>
      <x:c r="F92" s="3" t="str">
        <x:v>src/lib/data/events.json; src/lib/server/engine.ts</x:v>
      </x:c>
    </x:row>
    <x:row r="93" ht="78" customHeight="1">
      <x:c r="A93" s="3" t="str">
        <x:v>Boss</x:v>
      </x:c>
      <x:c r="B93" s="3" t="str">
        <x:v>7345</x:v>
      </x:c>
      <x:c r="C93" s="3" t="str">
        <x:v>Grand Fisher — Lure</x:v>
      </x:c>
      <x:c r="D93" s="3" t="str">
        <x:v>Stats only</x:v>
      </x:c>
      <x:c r="E93" s="3" t="str">
        <x:v>Summons a substitute with Taunt.</x:v>
      </x:c>
      <x:c r="F93" s="3" t="str">
        <x:v>src/lib/bosses.ts</x:v>
      </x:c>
    </x:row>
    <x:row r="94" ht="78" customHeight="1">
      <x:c r="A94" s="3" t="str">
        <x:v>Boss</x:v>
      </x:c>
      <x:c r="B94" s="3" t="str">
        <x:v>7407</x:v>
      </x:c>
      <x:c r="C94" s="3" t="str">
        <x:v>Kurama — Tailed Beast Bomb</x:v>
      </x:c>
      <x:c r="D94" s="3" t="str">
        <x:v>Stats only</x:v>
      </x:c>
      <x:c r="E94" s="3" t="str">
        <x:v>Periodic all-enemy attack.</x:v>
      </x:c>
      <x:c r="F94" s="3" t="str">
        <x:v>src/lib/bosses.ts</x:v>
      </x:c>
    </x:row>
    <x:row r="95" ht="78" customHeight="1">
      <x:c r="A95" s="3" t="str">
        <x:v>Boss</x:v>
      </x:c>
      <x:c r="B95" s="3" t="str">
        <x:v>184112</x:v>
      </x:c>
      <x:c r="C95" s="3" t="str">
        <x:v>Gun Devil — Gun Fiend</x:v>
      </x:c>
      <x:c r="D95" s="3" t="str">
        <x:v>Stats only</x:v>
      </x:c>
      <x:c r="E95" s="3" t="str">
        <x:v>Revives using a player unit with a stat boost.</x:v>
      </x:c>
      <x:c r="F95" s="3" t="str">
        <x:v>src/lib/bosses.ts</x:v>
      </x:c>
    </x:row>
    <x:row r="96" ht="78" customHeight="1">
      <x:c r="A96" s="3" t="str">
        <x:v>Boss</x:v>
      </x:c>
      <x:c r="B96" s="3" t="str">
        <x:v>240069</x:v>
      </x:c>
      <x:c r="C96" s="3" t="str">
        <x:v>Mahoraga — Adaptation</x:v>
      </x:c>
      <x:c r="D96" s="3" t="str">
        <x:v>Stats only</x:v>
      </x:c>
      <x:c r="E96" s="3" t="str">
        <x:v>Gains immunity after an ability affects it.</x:v>
      </x:c>
      <x:c r="F96" s="3" t="str">
        <x:v>src/lib/bosses.ts</x:v>
      </x:c>
    </x:row>
    <x:row r="97" ht="78" customHeight="1">
      <x:c r="A97" s="3" t="str">
        <x:v>Boss</x:v>
      </x:c>
      <x:c r="B97" s="3" t="str">
        <x:v>74017</x:v>
      </x:c>
      <x:c r="C97" s="3" t="str">
        <x:v>Deoxys — Form Change</x:v>
      </x:c>
      <x:c r="D97" s="3" t="str">
        <x:v>Stats only</x:v>
      </x:c>
      <x:c r="E97" s="3" t="str">
        <x:v>Switches stat-boosting formes.</x:v>
      </x:c>
      <x:c r="F97" s="3" t="str">
        <x:v>src/lib/bosses.ts</x:v>
      </x:c>
    </x:row>
  </x:sheetData>
  <x:mergeCells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932370f5b6024ce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.130000114440918" hidden="0" customWidth="1"/>
    <x:col min="2" max="2" width="14.380000114440918" hidden="0" customWidth="1"/>
    <x:col min="3" max="3" width="52.5" hidden="0" customWidth="1"/>
    <x:col min="4" max="4" width="56.880001068115234" hidden="0" customWidth="1"/>
    <x:col min="5" max="5" width="58.130001068115234" hidden="0" customWidth="1"/>
    <x:col min="6" max="6" width="23.75" hidden="0" customWidth="1"/>
  </x:cols>
  <x:sheetData>
    <x:row r="1" ht="10" customHeight="1">
      <x:c r="A1" s="3"/>
      <x:c r="B1" s="3"/>
      <x:c r="C1" s="3"/>
      <x:c r="D1" s="3"/>
      <x:c r="E1" s="3"/>
      <x:c r="F1" s="3"/>
    </x:row>
    <x:row r="2" ht="32" customHeight="1">
      <x:c r="A2" s="7" t="str">
        <x:v>Open design decisions</x:v>
      </x:c>
      <x:c r="B2" s="3"/>
      <x:c r="C2" s="3"/>
      <x:c r="D2" s="3"/>
      <x:c r="E2" s="3"/>
      <x:c r="F2" s="3"/>
    </x:row>
    <x:row r="3" ht="30" customHeight="1">
      <x:c r="A3" s="8"/>
      <x:c r="B3" s="8"/>
      <x:c r="C3" s="8"/>
      <x:c r="D3" s="8"/>
      <x:c r="E3" s="8"/>
      <x:c r="F3" s="8"/>
    </x:row>
    <x:row r="4" ht="30" customHeight="1">
      <x:c r="A4" s="3" t="str">
        <x:v>Recommendations are proposals. Decide these before committing the related implementation or balancing work.</x:v>
      </x:c>
      <x:c r="B4" s="3"/>
      <x:c r="C4" s="3"/>
      <x:c r="D4" s="3"/>
      <x:c r="E4" s="3"/>
      <x:c r="F4" s="3"/>
    </x:row>
    <x:row r="5" ht="30" customHeight="1">
      <x:c r="A5" s="3"/>
      <x:c r="B5" s="3"/>
      <x:c r="C5" s="3"/>
      <x:c r="D5" s="3"/>
      <x:c r="E5" s="3"/>
      <x:c r="F5" s="3"/>
    </x:row>
    <x:row r="6" ht="32" customHeight="1">
      <x:c r="A6" s="6" t="str">
        <x:v>ID</x:v>
      </x:c>
      <x:c r="B6" s="6" t="str">
        <x:v>Area</x:v>
      </x:c>
      <x:c r="C6" s="6" t="str">
        <x:v>Decision needed</x:v>
      </x:c>
      <x:c r="D6" s="6" t="str">
        <x:v>Recommended starting point</x:v>
      </x:c>
      <x:c r="E6" s="6" t="str">
        <x:v>Reason / current behavior</x:v>
      </x:c>
      <x:c r="F6" s="6" t="str">
        <x:v>Related IDs</x:v>
      </x:c>
    </x:row>
    <x:row r="7" ht="100" customHeight="1">
      <x:c r="A7" s="3" t="str">
        <x:v>DEC-01</x:v>
      </x:c>
      <x:c r="B7" s="3" t="str">
        <x:v>Progression</x:v>
      </x:c>
      <x:c r="C7" s="3" t="str">
        <x:v>Choose floor bands, enemy size caps and boss scaling curves.</x:v>
      </x:c>
      <x:c r="D7" s="3" t="str">
        <x:v>Keep first 10 floors as the baseline. Add bands only after simulation benchmarks.</x:v>
      </x:c>
      <x:c r="E7" s="3" t="str">
        <x:v>No concrete thresholds or multipliers were requested.</x:v>
      </x:c>
      <x:c r="F7" s="3" t="str">
        <x:v>PLAN-21–28</x:v>
      </x:c>
    </x:row>
    <x:row r="8" ht="100" customHeight="1">
      <x:c r="A8" s="3" t="str">
        <x:v>DEC-02</x:v>
      </x:c>
      <x:c r="B8" s="3" t="str">
        <x:v>Bosses</x:v>
      </x:c>
      <x:c r="C8" s="3" t="str">
        <x:v>Define summons, unit capture and adaptation semantics.</x:v>
      </x:c>
      <x:c r="D8" s="3" t="str">
        <x:v>Battle-only changes should restore saved units and equipment afterward.</x:v>
      </x:c>
      <x:c r="E8" s="3" t="str">
        <x:v>Clarify summon slots/caps, captured unit removal and immunity categories before implementation.</x:v>
      </x:c>
      <x:c r="F8" s="3" t="str">
        <x:v>PLAN-16,18,19</x:v>
      </x:c>
    </x:row>
    <x:row r="9" ht="100" customHeight="1">
      <x:c r="A9" s="3" t="str">
        <x:v>DEC-03</x:v>
      </x:c>
      <x:c r="B9" s="3" t="str">
        <x:v>Stages</x:v>
      </x:c>
      <x:c r="C9" s="3" t="str">
        <x:v>Define extra-unit behavior in duels and HP-percent stages.</x:v>
      </x:c>
      <x:c r="D9" s="3" t="str">
        <x:v>Preserve Budokai first-five rule. Explicitly document which extra units contribute in every other stage.</x:v>
      </x:c>
      <x:c r="E9" s="3" t="str">
        <x:v>Avoid enemy-size progression accidentally invalidating stage win conditions.</x:v>
      </x:c>
      <x:c r="F9" s="3" t="str">
        <x:v>PLAN-08,24</x:v>
      </x:c>
    </x:row>
    <x:row r="10" ht="100" customHeight="1">
      <x:c r="A10" s="3" t="str">
        <x:v>DEC-04</x:v>
      </x:c>
      <x:c r="B10" s="3" t="str">
        <x:v>Events</x:v>
      </x:c>
      <x:c r="C10" s="3" t="str">
        <x:v>Should skipping a no-risk event advance the floor?</x:v>
      </x:c>
      <x:c r="D10" s="3" t="str">
        <x:v>Review skip rewards and floor advancement before difficulty scaling.</x:v>
      </x:c>
      <x:c r="E10" s="3" t="str">
        <x:v>Current No choices advance progress. This may offer safer routes than fighting.</x:v>
      </x:c>
      <x:c r="F10" s="3" t="str">
        <x:v>PLAN-07</x:v>
      </x:c>
    </x:row>
    <x:row r="11" ht="100" customHeight="1">
      <x:c r="A11" s="3" t="str">
        <x:v>DEC-05</x:v>
      </x:c>
      <x:c r="B11" s="3" t="str">
        <x:v>Events</x:v>
      </x:c>
      <x:c r="C11" s="3" t="str">
        <x:v>Choose gambling resources and loss limits.</x:v>
      </x:c>
      <x:c r="D11" s="3" t="str">
        <x:v>Use in-game resources only with explicit stake limits and displayed odds.</x:v>
      </x:c>
      <x:c r="E11" s="3" t="str">
        <x:v>No currency or wager economy is currently defined.</x:v>
      </x:c>
      <x:c r="F11" s="3" t="str">
        <x:v>PLAN-12,14</x:v>
      </x:c>
    </x:row>
    <x:row r="12" ht="100" customHeight="1">
      <x:c r="A12" s="3" t="str">
        <x:v>DEC-06</x:v>
      </x:c>
      <x:c r="B12" s="3" t="str">
        <x:v>Achievements</x:v>
      </x:c>
      <x:c r="C12" s="3" t="str">
        <x:v>Decide run-only versus account-wide achievements.</x:v>
      </x:c>
      <x:c r="D12" s="3" t="str">
        <x:v>Keep permanent achievements separate from inventory/lives reset.</x:v>
      </x:c>
      <x:c r="E12" s="3" t="str">
        <x:v>Browser import IDs are not a cross-device account system.</x:v>
      </x:c>
      <x:c r="F12" s="3" t="str">
        <x:v>PLAN-15, SUG-03</x:v>
      </x:c>
    </x:row>
    <x:row r="13" ht="100" customHeight="1">
      <x:c r="A13" s="3" t="str">
        <x:v>DEC-07</x:v>
      </x:c>
      <x:c r="B13" s="3" t="str">
        <x:v>Progression</x:v>
      </x:c>
      <x:c r="C13" s="3" t="str">
        <x:v>Choose enemy pool source and small-pool fallback.</x:v>
      </x:c>
      <x:c r="D13" s="3" t="str">
        <x:v>Start with imported pool plus a clearly labeled curated fallback when guarantees cannot be met.</x:v>
      </x:c>
      <x:c r="E13" s="3" t="str">
        <x:v>Current ordinary opponents come only from the player’s imported pool.</x:v>
      </x:c>
      <x:c r="F13" s="3" t="str">
        <x:v>PLAN-25,27</x:v>
      </x:c>
    </x:row>
    <x:row r="14" ht="100" customHeight="1">
      <x:c r="A14" s="3" t="str">
        <x:v>DEC-08</x:v>
      </x:c>
      <x:c r="B14" s="3" t="str">
        <x:v>Platform</x:v>
      </x:c>
      <x:c r="C14" s="3" t="str">
        <x:v>Choose persistent hosting storage and identity architecture.</x:v>
      </x:c>
      <x:c r="D14" s="3" t="str">
        <x:v>Verify current filesystem durability first. Introduce a database when identity or multiple server instances require it.</x:v>
      </x:c>
      <x:c r="E14" s="3" t="str">
        <x:v>Static JSON catalogs do not require a database. Player saves need durable storage.</x:v>
      </x:c>
      <x:c r="F14" s="3" t="str">
        <x:v>SUG-03,05</x:v>
      </x:c>
    </x:row>
    <x:row r="15" ht="100" customHeight="1">
      <x:c r="A15" s="3" t="str">
        <x:v>DEC-09</x:v>
      </x:c>
      <x:c r="B15" s="3" t="str">
        <x:v>Growth</x:v>
      </x:c>
      <x:c r="C15" s="3" t="str">
        <x:v>Decide when level growth and reroll inheritance belong in scope.</x:v>
      </x:c>
      <x:c r="D15" s="3" t="str">
        <x:v>Postpone until floor difficulty and modifiers are stable.</x:v>
      </x:c>
      <x:c r="E15" s="3" t="str">
        <x:v>Earlier design intentionally excluded leveling and stat growth.</x:v>
      </x:c>
      <x:c r="F15" s="3" t="str">
        <x:v>SUG-11</x:v>
      </x:c>
    </x:row>
    <x:row r="16" ht="100" customHeight="1">
      <x:c r="A16" s="3" t="str">
        <x:v>DEC-10</x:v>
      </x:c>
      <x:c r="B16" s="3" t="str">
        <x:v>Timing</x:v>
      </x:c>
      <x:c r="C16" s="3" t="str">
        <x:v>Choose baseline battle-duration targets and Turbo release behavior.</x:v>
      </x:c>
      <x:c r="D16" s="3" t="str">
        <x:v>Retain 20–40 simulated seconds as the initial ordinary-battle design target, subject to measurement.</x:v>
      </x:c>
      <x:c r="E16" s="3" t="str">
        <x:v>This target is not a verified measured result. Turbo is a testing feature.</x:v>
      </x:c>
      <x:c r="F16" s="3" t="str">
        <x:v>SUG-02, PLAN-28</x:v>
      </x:c>
    </x:row>
    <x:row r="17" ht="100" customHeight="1">
      <x:c r="A17" s="3" t="str">
        <x:v>DEC-11</x:v>
      </x:c>
      <x:c r="B17" s="3" t="str">
        <x:v>Run outcomes</x:v>
      </x:c>
      <x:c r="C17" s="3" t="str">
        <x:v>Specify draw/timeout progression and life rules.</x:v>
      </x:c>
      <x:c r="D17" s="3" t="str">
        <x:v>Write one explicit policy for timeouts, simultaneous death and stage ties.</x:v>
      </x:c>
      <x:c r="E17" s="3" t="str">
        <x:v>Current battles can draw at the 120-second simulation cap. Review all result paths before scaling.</x:v>
      </x:c>
      <x:c r="F17" s="3" t="str">
        <x:v>PLAN-28</x:v>
      </x:c>
    </x:row>
    <x:row r="18" ht="100" customHeight="1">
      <x:c r="A18" s="3" t="str">
        <x:v>DEC-12</x:v>
      </x:c>
      <x:c r="B18" s="3" t="str">
        <x:v>Delivery</x:v>
      </x:c>
      <x:c r="C18" s="3" t="str">
        <x:v>Confirm suggested priorities, scope and ownership.</x:v>
      </x:c>
      <x:c r="D18" s="3" t="str">
        <x:v>Use Foundations, Progression, Content, Later as ordering suggestions rather than fixed dates.</x:v>
      </x:c>
      <x:c r="E18" s="3" t="str">
        <x:v>No deadlines, staffing, effort estimates or committed release dates were supplied.</x:v>
      </x:c>
      <x:c r="F18" s="3" t="str">
        <x:v>All future requirements</x:v>
      </x:c>
    </x:row>
  </x:sheetData>
  <x:mergeCells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4ae77ab5ac4f483e"/>
  </x:tableParts>
</x:worksheet>
</file>